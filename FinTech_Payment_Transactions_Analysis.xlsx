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shu\Desktop\Fintech_payment_transaction_Analysis\02_Excel\"/>
    </mc:Choice>
  </mc:AlternateContent>
  <xr:revisionPtr revIDLastSave="0" documentId="13_ncr:1_{7056F7F6-1936-43EA-80DA-E9A6CFE94FF1}" xr6:coauthVersionLast="47" xr6:coauthVersionMax="47" xr10:uidLastSave="{00000000-0000-0000-0000-000000000000}"/>
  <bookViews>
    <workbookView xWindow="0" yWindow="0" windowWidth="23040" windowHeight="12360" firstSheet="1" activeTab="6" xr2:uid="{00000000-000D-0000-FFFF-FFFF00000000}"/>
  </bookViews>
  <sheets>
    <sheet name="Bank level performance" sheetId="5" r:id="rId1"/>
    <sheet name="Failure analysis" sheetId="7" r:id="rId2"/>
    <sheet name="payment method" sheetId="9" r:id="rId3"/>
    <sheet name="Transactions" sheetId="1" r:id="rId4"/>
    <sheet name="Data_Dictionary" sheetId="2" r:id="rId5"/>
    <sheet name="Analysis" sheetId="3" r:id="rId6"/>
    <sheet name="DASHBOARD" sheetId="8" r:id="rId7"/>
  </sheets>
  <definedNames>
    <definedName name="_xlnm._FilterDatabase" localSheetId="3" hidden="1">Transactions!$A$1:$K$501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A5" i="3" s="1"/>
  <c r="B14" i="3"/>
  <c r="B15" i="3"/>
  <c r="B16" i="3"/>
  <c r="B13" i="3"/>
  <c r="B6" i="8"/>
  <c r="B12" i="3"/>
  <c r="E2" i="3"/>
  <c r="D2" i="3"/>
  <c r="A8" i="3" s="1"/>
  <c r="B2" i="3"/>
  <c r="A2" i="3"/>
  <c r="K10" i="5"/>
  <c r="K9" i="5"/>
  <c r="K8" i="5"/>
  <c r="K7" i="5"/>
  <c r="K6" i="5"/>
</calcChain>
</file>

<file path=xl/sharedStrings.xml><?xml version="1.0" encoding="utf-8"?>
<sst xmlns="http://schemas.openxmlformats.org/spreadsheetml/2006/main" count="4173" uniqueCount="810">
  <si>
    <t>Transaction_ID</t>
  </si>
  <si>
    <t>Transaction_Date</t>
  </si>
  <si>
    <t>Customer_ID</t>
  </si>
  <si>
    <t>Bank</t>
  </si>
  <si>
    <t>Payment_Method</t>
  </si>
  <si>
    <t>Amount_INR</t>
  </si>
  <si>
    <t>Status</t>
  </si>
  <si>
    <t>Failure_Reason</t>
  </si>
  <si>
    <t>City</t>
  </si>
  <si>
    <t>Customer_Type</t>
  </si>
  <si>
    <t>Device</t>
  </si>
  <si>
    <t>TXN0001</t>
  </si>
  <si>
    <t>CUST0117</t>
  </si>
  <si>
    <t>Kotak Mahindra Bank</t>
  </si>
  <si>
    <t>Credit Card</t>
  </si>
  <si>
    <t>Success</t>
  </si>
  <si>
    <t>Chennai</t>
  </si>
  <si>
    <t>Individual</t>
  </si>
  <si>
    <t>Android</t>
  </si>
  <si>
    <t>TXN0002</t>
  </si>
  <si>
    <t>CUST0192</t>
  </si>
  <si>
    <t>State Bank of India</t>
  </si>
  <si>
    <t>UPI</t>
  </si>
  <si>
    <t>Failed</t>
  </si>
  <si>
    <t>Network Error</t>
  </si>
  <si>
    <t>Pune</t>
  </si>
  <si>
    <t>iOS</t>
  </si>
  <si>
    <t>TXN0003</t>
  </si>
  <si>
    <t>CUST0208</t>
  </si>
  <si>
    <t>HDFC Bank</t>
  </si>
  <si>
    <t>Bengaluru</t>
  </si>
  <si>
    <t>TXN0004</t>
  </si>
  <si>
    <t>CUST0051</t>
  </si>
  <si>
    <t>Kolkata</t>
  </si>
  <si>
    <t>TXN0005</t>
  </si>
  <si>
    <t>CUST0175</t>
  </si>
  <si>
    <t>Axis Bank</t>
  </si>
  <si>
    <t>TXN0006</t>
  </si>
  <si>
    <t>CUST0106</t>
  </si>
  <si>
    <t>Net Banking</t>
  </si>
  <si>
    <t>Delhi</t>
  </si>
  <si>
    <t>Small Business</t>
  </si>
  <si>
    <t>TXN0007</t>
  </si>
  <si>
    <t>CUST0111</t>
  </si>
  <si>
    <t>Wallet</t>
  </si>
  <si>
    <t>Mumbai</t>
  </si>
  <si>
    <t>Merchant</t>
  </si>
  <si>
    <t>Web</t>
  </si>
  <si>
    <t>TXN0008</t>
  </si>
  <si>
    <t>CUST0045</t>
  </si>
  <si>
    <t>Debit Card</t>
  </si>
  <si>
    <t>TXN0009</t>
  </si>
  <si>
    <t>CUST0005</t>
  </si>
  <si>
    <t>TXN0010</t>
  </si>
  <si>
    <t>CUST0247</t>
  </si>
  <si>
    <t>TXN0011</t>
  </si>
  <si>
    <t>CUST0001</t>
  </si>
  <si>
    <t>TXN0012</t>
  </si>
  <si>
    <t>CUST0179</t>
  </si>
  <si>
    <t>TXN0013</t>
  </si>
  <si>
    <t>CUST0029</t>
  </si>
  <si>
    <t>TXN0014</t>
  </si>
  <si>
    <t>CUST0185</t>
  </si>
  <si>
    <t>TXN0015</t>
  </si>
  <si>
    <t>CUST0225</t>
  </si>
  <si>
    <t>Ahmedabad</t>
  </si>
  <si>
    <t>TXN0016</t>
  </si>
  <si>
    <t>CUST0165</t>
  </si>
  <si>
    <t>TXN0017</t>
  </si>
  <si>
    <t>CUST0039</t>
  </si>
  <si>
    <t>Fraud Check</t>
  </si>
  <si>
    <t>TXN0018</t>
  </si>
  <si>
    <t>CUST0229</t>
  </si>
  <si>
    <t>TXN0019</t>
  </si>
  <si>
    <t>CUST0203</t>
  </si>
  <si>
    <t>TXN0020</t>
  </si>
  <si>
    <t>CUST0144</t>
  </si>
  <si>
    <t>TXN0021</t>
  </si>
  <si>
    <t>CUST0147</t>
  </si>
  <si>
    <t>TXN0022</t>
  </si>
  <si>
    <t>CUST0011</t>
  </si>
  <si>
    <t>Insufficient Balance</t>
  </si>
  <si>
    <t>TXN0023</t>
  </si>
  <si>
    <t>CUST0048</t>
  </si>
  <si>
    <t>ICICI Bank</t>
  </si>
  <si>
    <t>TXN0024</t>
  </si>
  <si>
    <t>TXN0025</t>
  </si>
  <si>
    <t>CUST0217</t>
  </si>
  <si>
    <t>TXN0026</t>
  </si>
  <si>
    <t>CUST0189</t>
  </si>
  <si>
    <t>TXN0027</t>
  </si>
  <si>
    <t>CUST0214</t>
  </si>
  <si>
    <t>TXN0028</t>
  </si>
  <si>
    <t>CUST0030</t>
  </si>
  <si>
    <t>TXN0029</t>
  </si>
  <si>
    <t>CUST0017</t>
  </si>
  <si>
    <t>TXN0030</t>
  </si>
  <si>
    <t>CUST0024</t>
  </si>
  <si>
    <t>TXN0031</t>
  </si>
  <si>
    <t>CUST0018</t>
  </si>
  <si>
    <t>Hyderabad</t>
  </si>
  <si>
    <t>TXN0032</t>
  </si>
  <si>
    <t>CUST0151</t>
  </si>
  <si>
    <t>TXN0033</t>
  </si>
  <si>
    <t>TXN0034</t>
  </si>
  <si>
    <t>CUST0173</t>
  </si>
  <si>
    <t>TXN0035</t>
  </si>
  <si>
    <t>CUST0215</t>
  </si>
  <si>
    <t>TXN0036</t>
  </si>
  <si>
    <t>CUST0070</t>
  </si>
  <si>
    <t>TXN0037</t>
  </si>
  <si>
    <t>CUST0109</t>
  </si>
  <si>
    <t>TXN0038</t>
  </si>
  <si>
    <t>CUST0145</t>
  </si>
  <si>
    <t>TXN0039</t>
  </si>
  <si>
    <t>CUST0245</t>
  </si>
  <si>
    <t>TXN0040</t>
  </si>
  <si>
    <t>CUST0232</t>
  </si>
  <si>
    <t>TXN0041</t>
  </si>
  <si>
    <t>TXN0042</t>
  </si>
  <si>
    <t>CUST0218</t>
  </si>
  <si>
    <t>TXN0043</t>
  </si>
  <si>
    <t>CUST0138</t>
  </si>
  <si>
    <t>TXN0044</t>
  </si>
  <si>
    <t>TXN0045</t>
  </si>
  <si>
    <t>CUST0171</t>
  </si>
  <si>
    <t>TXN0046</t>
  </si>
  <si>
    <t>CUST0012</t>
  </si>
  <si>
    <t>TXN0047</t>
  </si>
  <si>
    <t>CUST0162</t>
  </si>
  <si>
    <t>TXN0048</t>
  </si>
  <si>
    <t>Server Downtime</t>
  </si>
  <si>
    <t>TXN0049</t>
  </si>
  <si>
    <t>CUST0096</t>
  </si>
  <si>
    <t>TXN0050</t>
  </si>
  <si>
    <t>CUST0105</t>
  </si>
  <si>
    <t>TXN0051</t>
  </si>
  <si>
    <t>CUST0076</t>
  </si>
  <si>
    <t>Incorrect PIN</t>
  </si>
  <si>
    <t>TXN0052</t>
  </si>
  <si>
    <t>CUST0140</t>
  </si>
  <si>
    <t>TXN0053</t>
  </si>
  <si>
    <t>CUST0223</t>
  </si>
  <si>
    <t>TXN0054</t>
  </si>
  <si>
    <t>CUST0186</t>
  </si>
  <si>
    <t>TXN0055</t>
  </si>
  <si>
    <t>CUST0166</t>
  </si>
  <si>
    <t>TXN0056</t>
  </si>
  <si>
    <t>CUST0132</t>
  </si>
  <si>
    <t>Pending</t>
  </si>
  <si>
    <t>TXN0057</t>
  </si>
  <si>
    <t>CUST0141</t>
  </si>
  <si>
    <t>TXN0058</t>
  </si>
  <si>
    <t>TXN0059</t>
  </si>
  <si>
    <t>TXN0060</t>
  </si>
  <si>
    <t>TXN0061</t>
  </si>
  <si>
    <t>TXN0062</t>
  </si>
  <si>
    <t>CUST0090</t>
  </si>
  <si>
    <t>TXN0063</t>
  </si>
  <si>
    <t>CUST0161</t>
  </si>
  <si>
    <t>TXN0064</t>
  </si>
  <si>
    <t>CUST0047</t>
  </si>
  <si>
    <t>Bank Declined</t>
  </si>
  <si>
    <t>TXN0065</t>
  </si>
  <si>
    <t>CUST0177</t>
  </si>
  <si>
    <t>TXN0066</t>
  </si>
  <si>
    <t>CUST0095</t>
  </si>
  <si>
    <t>TXN0067</t>
  </si>
  <si>
    <t>CUST0110</t>
  </si>
  <si>
    <t>TXN0068</t>
  </si>
  <si>
    <t>CUST0092</t>
  </si>
  <si>
    <t>TXN0069</t>
  </si>
  <si>
    <t>CUST0222</t>
  </si>
  <si>
    <t>TXN0070</t>
  </si>
  <si>
    <t>CUST0226</t>
  </si>
  <si>
    <t>TXN0071</t>
  </si>
  <si>
    <t>TXN0072</t>
  </si>
  <si>
    <t>CUST0084</t>
  </si>
  <si>
    <t>TXN0073</t>
  </si>
  <si>
    <t>CUST0183</t>
  </si>
  <si>
    <t>TXN0074</t>
  </si>
  <si>
    <t>CUST0093</t>
  </si>
  <si>
    <t>TXN0075</t>
  </si>
  <si>
    <t>TXN0076</t>
  </si>
  <si>
    <t>CUST0073</t>
  </si>
  <si>
    <t>TXN0077</t>
  </si>
  <si>
    <t>CUST0099</t>
  </si>
  <si>
    <t>TXN0078</t>
  </si>
  <si>
    <t>CUST0014</t>
  </si>
  <si>
    <t>TXN0079</t>
  </si>
  <si>
    <t>CUST0115</t>
  </si>
  <si>
    <t>TXN0080</t>
  </si>
  <si>
    <t>TXN0081</t>
  </si>
  <si>
    <t>CUST0008</t>
  </si>
  <si>
    <t>TXN0082</t>
  </si>
  <si>
    <t>CUST0184</t>
  </si>
  <si>
    <t>TXN0083</t>
  </si>
  <si>
    <t>CUST0131</t>
  </si>
  <si>
    <t>Daily Limit Exceeded</t>
  </si>
  <si>
    <t>TXN0084</t>
  </si>
  <si>
    <t>CUST0075</t>
  </si>
  <si>
    <t>TXN0085</t>
  </si>
  <si>
    <t>CUST0133</t>
  </si>
  <si>
    <t>TXN0086</t>
  </si>
  <si>
    <t>CUST0142</t>
  </si>
  <si>
    <t>TXN0087</t>
  </si>
  <si>
    <t>TXN0088</t>
  </si>
  <si>
    <t>TXN0089</t>
  </si>
  <si>
    <t>CUST0120</t>
  </si>
  <si>
    <t>TXN0090</t>
  </si>
  <si>
    <t>TXN0091</t>
  </si>
  <si>
    <t>TXN0092</t>
  </si>
  <si>
    <t>TXN0093</t>
  </si>
  <si>
    <t>CUST0104</t>
  </si>
  <si>
    <t>TXN0094</t>
  </si>
  <si>
    <t>TXN0095</t>
  </si>
  <si>
    <t>CUST0155</t>
  </si>
  <si>
    <t>TXN0096</t>
  </si>
  <si>
    <t>TXN0097</t>
  </si>
  <si>
    <t>CUST0130</t>
  </si>
  <si>
    <t>TXN0098</t>
  </si>
  <si>
    <t>CUST0074</t>
  </si>
  <si>
    <t>TXN0099</t>
  </si>
  <si>
    <t>TXN0100</t>
  </si>
  <si>
    <t>CUST0037</t>
  </si>
  <si>
    <t>TXN0101</t>
  </si>
  <si>
    <t>CUST0046</t>
  </si>
  <si>
    <t>TXN0102</t>
  </si>
  <si>
    <t>TXN0103</t>
  </si>
  <si>
    <t>TXN0104</t>
  </si>
  <si>
    <t>CUST0108</t>
  </si>
  <si>
    <t>TXN0105</t>
  </si>
  <si>
    <t>CUST0154</t>
  </si>
  <si>
    <t>TXN0106</t>
  </si>
  <si>
    <t>CUST0086</t>
  </si>
  <si>
    <t>TXN0107</t>
  </si>
  <si>
    <t>TXN0108</t>
  </si>
  <si>
    <t>CUST0220</t>
  </si>
  <si>
    <t>TXN0109</t>
  </si>
  <si>
    <t>CUST0202</t>
  </si>
  <si>
    <t>TXN0110</t>
  </si>
  <si>
    <t>TXN0111</t>
  </si>
  <si>
    <t>CUST0235</t>
  </si>
  <si>
    <t>TXN0112</t>
  </si>
  <si>
    <t>CUST0112</t>
  </si>
  <si>
    <t>TXN0113</t>
  </si>
  <si>
    <t>CUST0119</t>
  </si>
  <si>
    <t>TXN0114</t>
  </si>
  <si>
    <t>TXN0115</t>
  </si>
  <si>
    <t>CUST0237</t>
  </si>
  <si>
    <t>TXN0116</t>
  </si>
  <si>
    <t>TXN0117</t>
  </si>
  <si>
    <t>TXN0118</t>
  </si>
  <si>
    <t>TXN0119</t>
  </si>
  <si>
    <t>CUST0054</t>
  </si>
  <si>
    <t>TXN0120</t>
  </si>
  <si>
    <t>CUST0164</t>
  </si>
  <si>
    <t>TXN0121</t>
  </si>
  <si>
    <t>CUST0227</t>
  </si>
  <si>
    <t>TXN0122</t>
  </si>
  <si>
    <t>TXN0123</t>
  </si>
  <si>
    <t>CUST0172</t>
  </si>
  <si>
    <t>TXN0124</t>
  </si>
  <si>
    <t>TXN0125</t>
  </si>
  <si>
    <t>TXN0126</t>
  </si>
  <si>
    <t>CUST0026</t>
  </si>
  <si>
    <t>TXN0127</t>
  </si>
  <si>
    <t>CUST0007</t>
  </si>
  <si>
    <t>TXN0128</t>
  </si>
  <si>
    <t>TXN0129</t>
  </si>
  <si>
    <t>TXN0130</t>
  </si>
  <si>
    <t>CUST0016</t>
  </si>
  <si>
    <t>TXN0131</t>
  </si>
  <si>
    <t>CUST0221</t>
  </si>
  <si>
    <t>TXN0132</t>
  </si>
  <si>
    <t>TXN0133</t>
  </si>
  <si>
    <t>CUST0181</t>
  </si>
  <si>
    <t>TXN0134</t>
  </si>
  <si>
    <t>TXN0135</t>
  </si>
  <si>
    <t>TXN0136</t>
  </si>
  <si>
    <t>CUST0003</t>
  </si>
  <si>
    <t>TXN0137</t>
  </si>
  <si>
    <t>CUST0163</t>
  </si>
  <si>
    <t>TXN0138</t>
  </si>
  <si>
    <t>CUST0125</t>
  </si>
  <si>
    <t>TXN0139</t>
  </si>
  <si>
    <t>TXN0140</t>
  </si>
  <si>
    <t>CUST0038</t>
  </si>
  <si>
    <t>TXN0141</t>
  </si>
  <si>
    <t>CUST0040</t>
  </si>
  <si>
    <t>TXN0142</t>
  </si>
  <si>
    <t>CUST0205</t>
  </si>
  <si>
    <t>TXN0143</t>
  </si>
  <si>
    <t>TXN0144</t>
  </si>
  <si>
    <t>CUST0243</t>
  </si>
  <si>
    <t>TXN0145</t>
  </si>
  <si>
    <t>CUST0194</t>
  </si>
  <si>
    <t>TXN0146</t>
  </si>
  <si>
    <t>TXN0147</t>
  </si>
  <si>
    <t>TXN0148</t>
  </si>
  <si>
    <t>TXN0149</t>
  </si>
  <si>
    <t>TXN0150</t>
  </si>
  <si>
    <t>CUST0004</t>
  </si>
  <si>
    <t>TXN0151</t>
  </si>
  <si>
    <t>CUST0022</t>
  </si>
  <si>
    <t>TXN0152</t>
  </si>
  <si>
    <t>CUST0187</t>
  </si>
  <si>
    <t>TXN0153</t>
  </si>
  <si>
    <t>CUST0064</t>
  </si>
  <si>
    <t>TXN0154</t>
  </si>
  <si>
    <t>TXN0155</t>
  </si>
  <si>
    <t>CUST0148</t>
  </si>
  <si>
    <t>TXN0156</t>
  </si>
  <si>
    <t>CUST0249</t>
  </si>
  <si>
    <t>TXN0157</t>
  </si>
  <si>
    <t>TXN0158</t>
  </si>
  <si>
    <t>TXN0159</t>
  </si>
  <si>
    <t>CUST0002</t>
  </si>
  <si>
    <t>TXN0160</t>
  </si>
  <si>
    <t>TXN0161</t>
  </si>
  <si>
    <t>CUST0195</t>
  </si>
  <si>
    <t>TXN0162</t>
  </si>
  <si>
    <t>TXN0163</t>
  </si>
  <si>
    <t>TXN0164</t>
  </si>
  <si>
    <t>TXN0165</t>
  </si>
  <si>
    <t>TXN0166</t>
  </si>
  <si>
    <t>CUST0156</t>
  </si>
  <si>
    <t>TXN0167</t>
  </si>
  <si>
    <t>TXN0168</t>
  </si>
  <si>
    <t>TXN0169</t>
  </si>
  <si>
    <t>TXN0170</t>
  </si>
  <si>
    <t>TXN0171</t>
  </si>
  <si>
    <t>CUST0246</t>
  </si>
  <si>
    <t>TXN0172</t>
  </si>
  <si>
    <t>TXN0173</t>
  </si>
  <si>
    <t>CUST0010</t>
  </si>
  <si>
    <t>TXN0174</t>
  </si>
  <si>
    <t>CUST0020</t>
  </si>
  <si>
    <t>TXN0175</t>
  </si>
  <si>
    <t>TXN0176</t>
  </si>
  <si>
    <t>CUST0114</t>
  </si>
  <si>
    <t>TXN0177</t>
  </si>
  <si>
    <t>TXN0178</t>
  </si>
  <si>
    <t>TXN0179</t>
  </si>
  <si>
    <t>CUST0126</t>
  </si>
  <si>
    <t>TXN0180</t>
  </si>
  <si>
    <t>TXN0181</t>
  </si>
  <si>
    <t>TXN0182</t>
  </si>
  <si>
    <t>CUST0031</t>
  </si>
  <si>
    <t>TXN0183</t>
  </si>
  <si>
    <t>CUST0169</t>
  </si>
  <si>
    <t>TXN0184</t>
  </si>
  <si>
    <t>CUST0102</t>
  </si>
  <si>
    <t>TXN0185</t>
  </si>
  <si>
    <t>TXN0186</t>
  </si>
  <si>
    <t>TXN0187</t>
  </si>
  <si>
    <t>TXN0188</t>
  </si>
  <si>
    <t>TXN0189</t>
  </si>
  <si>
    <t>TXN0190</t>
  </si>
  <si>
    <t>CUST0019</t>
  </si>
  <si>
    <t>TXN0191</t>
  </si>
  <si>
    <t>TXN0192</t>
  </si>
  <si>
    <t>CUST0170</t>
  </si>
  <si>
    <t>TXN0193</t>
  </si>
  <si>
    <t>CUST0150</t>
  </si>
  <si>
    <t>TXN0194</t>
  </si>
  <si>
    <t>CUST0121</t>
  </si>
  <si>
    <t>TXN0195</t>
  </si>
  <si>
    <t>CUST0167</t>
  </si>
  <si>
    <t>TXN0196</t>
  </si>
  <si>
    <t>CUST0049</t>
  </si>
  <si>
    <t>TXN0197</t>
  </si>
  <si>
    <t>CUST0201</t>
  </si>
  <si>
    <t>TXN0198</t>
  </si>
  <si>
    <t>CUST0146</t>
  </si>
  <si>
    <t>TXN0199</t>
  </si>
  <si>
    <t>TXN0200</t>
  </si>
  <si>
    <t>TXN0201</t>
  </si>
  <si>
    <t>CUST0067</t>
  </si>
  <si>
    <t>TXN0202</t>
  </si>
  <si>
    <t>TXN0203</t>
  </si>
  <si>
    <t>CUST0190</t>
  </si>
  <si>
    <t>TXN0204</t>
  </si>
  <si>
    <t>TXN0205</t>
  </si>
  <si>
    <t>TXN0206</t>
  </si>
  <si>
    <t>TXN0207</t>
  </si>
  <si>
    <t>TXN0208</t>
  </si>
  <si>
    <t>CUST0082</t>
  </si>
  <si>
    <t>TXN0209</t>
  </si>
  <si>
    <t>CUST0210</t>
  </si>
  <si>
    <t>TXN0210</t>
  </si>
  <si>
    <t>TXN0211</t>
  </si>
  <si>
    <t>CUST0025</t>
  </si>
  <si>
    <t>TXN0212</t>
  </si>
  <si>
    <t>CUST0078</t>
  </si>
  <si>
    <t>TXN0213</t>
  </si>
  <si>
    <t>TXN0214</t>
  </si>
  <si>
    <t>CUST0056</t>
  </si>
  <si>
    <t>TXN0215</t>
  </si>
  <si>
    <t>CUST0103</t>
  </si>
  <si>
    <t>TXN0216</t>
  </si>
  <si>
    <t>TXN0217</t>
  </si>
  <si>
    <t>CUST0149</t>
  </si>
  <si>
    <t>TXN0218</t>
  </si>
  <si>
    <t>CUST0013</t>
  </si>
  <si>
    <t>TXN0219</t>
  </si>
  <si>
    <t>CUST0139</t>
  </si>
  <si>
    <t>TXN0220</t>
  </si>
  <si>
    <t>TXN0221</t>
  </si>
  <si>
    <t>TXN0222</t>
  </si>
  <si>
    <t>CUST0028</t>
  </si>
  <si>
    <t>TXN0223</t>
  </si>
  <si>
    <t>CUST0160</t>
  </si>
  <si>
    <t>TXN0224</t>
  </si>
  <si>
    <t>CUST0152</t>
  </si>
  <si>
    <t>TXN0225</t>
  </si>
  <si>
    <t>TXN0226</t>
  </si>
  <si>
    <t>TXN0227</t>
  </si>
  <si>
    <t>TXN0228</t>
  </si>
  <si>
    <t>CUST0032</t>
  </si>
  <si>
    <t>TXN0229</t>
  </si>
  <si>
    <t>TXN0230</t>
  </si>
  <si>
    <t>TXN0231</t>
  </si>
  <si>
    <t>CUST0238</t>
  </si>
  <si>
    <t>TXN0232</t>
  </si>
  <si>
    <t>TXN0233</t>
  </si>
  <si>
    <t>TXN0234</t>
  </si>
  <si>
    <t>CUST0128</t>
  </si>
  <si>
    <t>TXN0235</t>
  </si>
  <si>
    <t>CUST0224</t>
  </si>
  <si>
    <t>TXN0236</t>
  </si>
  <si>
    <t>TXN0237</t>
  </si>
  <si>
    <t>TXN0238</t>
  </si>
  <si>
    <t>TXN0239</t>
  </si>
  <si>
    <t>TXN0240</t>
  </si>
  <si>
    <t>CUST0055</t>
  </si>
  <si>
    <t>TXN0241</t>
  </si>
  <si>
    <t>TXN0242</t>
  </si>
  <si>
    <t>TXN0243</t>
  </si>
  <si>
    <t>CUST0118</t>
  </si>
  <si>
    <t>TXN0244</t>
  </si>
  <si>
    <t>TXN0245</t>
  </si>
  <si>
    <t>CUST0113</t>
  </si>
  <si>
    <t>TXN0246</t>
  </si>
  <si>
    <t>TXN0247</t>
  </si>
  <si>
    <t>CUST0231</t>
  </si>
  <si>
    <t>TXN0248</t>
  </si>
  <si>
    <t>CUST0057</t>
  </si>
  <si>
    <t>TXN0249</t>
  </si>
  <si>
    <t>TXN0250</t>
  </si>
  <si>
    <t>TXN0251</t>
  </si>
  <si>
    <t>CUST0199</t>
  </si>
  <si>
    <t>TXN0252</t>
  </si>
  <si>
    <t>TXN0253</t>
  </si>
  <si>
    <t>CUST0043</t>
  </si>
  <si>
    <t>TXN0254</t>
  </si>
  <si>
    <t>TXN0255</t>
  </si>
  <si>
    <t>CUST0188</t>
  </si>
  <si>
    <t>TXN0256</t>
  </si>
  <si>
    <t>CUST0127</t>
  </si>
  <si>
    <t>TXN0257</t>
  </si>
  <si>
    <t>CUST0233</t>
  </si>
  <si>
    <t>TXN0258</t>
  </si>
  <si>
    <t>CUST0200</t>
  </si>
  <si>
    <t>TXN0259</t>
  </si>
  <si>
    <t>TXN0260</t>
  </si>
  <si>
    <t>CUST0085</t>
  </si>
  <si>
    <t>TXN0261</t>
  </si>
  <si>
    <t>CUST0080</t>
  </si>
  <si>
    <t>TXN0262</t>
  </si>
  <si>
    <t>TXN0263</t>
  </si>
  <si>
    <t>CUST0129</t>
  </si>
  <si>
    <t>TXN0264</t>
  </si>
  <si>
    <t>CUST0250</t>
  </si>
  <si>
    <t>TXN0265</t>
  </si>
  <si>
    <t>TXN0266</t>
  </si>
  <si>
    <t>TXN0267</t>
  </si>
  <si>
    <t>CUST0213</t>
  </si>
  <si>
    <t>TXN0268</t>
  </si>
  <si>
    <t>CUST0176</t>
  </si>
  <si>
    <t>TXN0269</t>
  </si>
  <si>
    <t>TXN0270</t>
  </si>
  <si>
    <t>CUST0191</t>
  </si>
  <si>
    <t>TXN0271</t>
  </si>
  <si>
    <t>CUST0228</t>
  </si>
  <si>
    <t>TXN0272</t>
  </si>
  <si>
    <t>TXN0273</t>
  </si>
  <si>
    <t>TXN0274</t>
  </si>
  <si>
    <t>TXN0275</t>
  </si>
  <si>
    <t>CUST0209</t>
  </si>
  <si>
    <t>TXN0276</t>
  </si>
  <si>
    <t>TXN0277</t>
  </si>
  <si>
    <t>TXN0278</t>
  </si>
  <si>
    <t>CUST0050</t>
  </si>
  <si>
    <t>TXN0279</t>
  </si>
  <si>
    <t>CUST0035</t>
  </si>
  <si>
    <t>TXN0280</t>
  </si>
  <si>
    <t>TXN0281</t>
  </si>
  <si>
    <t>TXN0282</t>
  </si>
  <si>
    <t>CUST0091</t>
  </si>
  <si>
    <t>TXN0283</t>
  </si>
  <si>
    <t>CUST0124</t>
  </si>
  <si>
    <t>TXN0284</t>
  </si>
  <si>
    <t>TXN0285</t>
  </si>
  <si>
    <t>TXN0286</t>
  </si>
  <si>
    <t>CUST0041</t>
  </si>
  <si>
    <t>TXN0287</t>
  </si>
  <si>
    <t>CUST0077</t>
  </si>
  <si>
    <t>TXN0288</t>
  </si>
  <si>
    <t>TXN0289</t>
  </si>
  <si>
    <t>CUST0158</t>
  </si>
  <si>
    <t>TXN0290</t>
  </si>
  <si>
    <t>TXN0291</t>
  </si>
  <si>
    <t>TXN0292</t>
  </si>
  <si>
    <t>TXN0293</t>
  </si>
  <si>
    <t>CUST0081</t>
  </si>
  <si>
    <t>TXN0294</t>
  </si>
  <si>
    <t>TXN0295</t>
  </si>
  <si>
    <t>TXN0296</t>
  </si>
  <si>
    <t>TXN0297</t>
  </si>
  <si>
    <t>TXN0298</t>
  </si>
  <si>
    <t>CUST0157</t>
  </si>
  <si>
    <t>TXN0299</t>
  </si>
  <si>
    <t>CUST0136</t>
  </si>
  <si>
    <t>TXN0300</t>
  </si>
  <si>
    <t>CUST0069</t>
  </si>
  <si>
    <t>TXN0301</t>
  </si>
  <si>
    <t>TXN0302</t>
  </si>
  <si>
    <t>CUST0087</t>
  </si>
  <si>
    <t>TXN0303</t>
  </si>
  <si>
    <t>CUST0240</t>
  </si>
  <si>
    <t>TXN0304</t>
  </si>
  <si>
    <t>TXN0305</t>
  </si>
  <si>
    <t>CUST0068</t>
  </si>
  <si>
    <t>TXN0306</t>
  </si>
  <si>
    <t>TXN0307</t>
  </si>
  <si>
    <t>TXN0308</t>
  </si>
  <si>
    <t>TXN0309</t>
  </si>
  <si>
    <t>TXN0310</t>
  </si>
  <si>
    <t>TXN0311</t>
  </si>
  <si>
    <t>CUST0219</t>
  </si>
  <si>
    <t>TXN0312</t>
  </si>
  <si>
    <t>CUST0116</t>
  </si>
  <si>
    <t>TXN0313</t>
  </si>
  <si>
    <t>TXN0314</t>
  </si>
  <si>
    <t>TXN0315</t>
  </si>
  <si>
    <t>TXN0316</t>
  </si>
  <si>
    <t>TXN0317</t>
  </si>
  <si>
    <t>CUST0061</t>
  </si>
  <si>
    <t>TXN0318</t>
  </si>
  <si>
    <t>TXN0319</t>
  </si>
  <si>
    <t>TXN0320</t>
  </si>
  <si>
    <t>CUST0021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</si>
  <si>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</si>
  <si>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</si>
  <si>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</si>
  <si>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</si>
  <si>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</si>
  <si>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</si>
  <si>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</si>
  <si>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</si>
  <si>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</si>
  <si>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CUST0206</t>
  </si>
  <si>
    <t>TXN0330</t>
  </si>
  <si>
    <t>TXN0331</t>
  </si>
  <si>
    <t>CUST0216</t>
  </si>
  <si>
    <t>TXN0332</t>
  </si>
  <si>
    <t>TXN0333</t>
  </si>
  <si>
    <t>CUST0053</t>
  </si>
  <si>
    <t>TXN0334</t>
  </si>
  <si>
    <t>TXN0335</t>
  </si>
  <si>
    <t>TXN0336</t>
  </si>
  <si>
    <t>CUST0027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</si>
  <si>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</si>
  <si>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</si>
  <si>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</si>
  <si>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</si>
  <si>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</si>
  <si>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</si>
  <si>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</si>
  <si>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</si>
  <si>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</si>
  <si>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</si>
  <si>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</si>
  <si>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</si>
  <si>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CUST0134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</si>
  <si>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</si>
  <si>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</si>
  <si>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</si>
  <si>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</si>
  <si>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</si>
  <si>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</si>
  <si>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</si>
  <si>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</si>
  <si>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</si>
  <si>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</si>
  <si>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</si>
  <si>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</si>
  <si>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</si>
  <si>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</si>
  <si>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</si>
  <si>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</si>
  <si>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</si>
  <si>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CUST0180</t>
  </si>
  <si>
    <t>TXN0366</t>
  </si>
  <si>
    <t>CUST0036</t>
  </si>
  <si>
    <t>TXN0367</t>
  </si>
  <si>
    <t>TXN0368</t>
  </si>
  <si>
    <t>TXN0369</t>
  </si>
  <si>
    <t>TXN0370</t>
  </si>
  <si>
    <t>CUST0059</t>
  </si>
  <si>
    <t>TXN0371</t>
  </si>
  <si>
    <t>CUST0123</t>
  </si>
  <si>
    <t>TXN0372</t>
  </si>
  <si>
    <t>TXN0373</t>
  </si>
  <si>
    <t>TXN0374</t>
  </si>
  <si>
    <t>TXN0375</t>
  </si>
  <si>
    <t>TXN0376</t>
  </si>
  <si>
    <t>TXN0377</t>
  </si>
  <si>
    <t>CUST0212</t>
  </si>
  <si>
    <t>TXN0378</t>
  </si>
  <si>
    <t>TXN0379</t>
  </si>
  <si>
    <t>TXN0380</t>
  </si>
  <si>
    <t>TXN0381</t>
  </si>
  <si>
    <t>CUST0083</t>
  </si>
  <si>
    <t>TXN0382</t>
  </si>
  <si>
    <t>CUST0248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</si>
  <si>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</si>
  <si>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</si>
  <si>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</si>
  <si>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</si>
  <si>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</si>
  <si>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</si>
  <si>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</si>
  <si>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</si>
  <si>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CUST0137</t>
  </si>
  <si>
    <t>TXN0391</t>
  </si>
  <si>
    <t>CUST0107</t>
  </si>
  <si>
    <t>TXN0392</t>
  </si>
  <si>
    <t>TXN0393</t>
  </si>
  <si>
    <t>CUST0242</t>
  </si>
  <si>
    <t>TXN0394</t>
  </si>
  <si>
    <t>TXN0395</t>
  </si>
  <si>
    <t>CUST0153</t>
  </si>
  <si>
    <t>TXN0396</t>
  </si>
  <si>
    <t>TXN0397</t>
  </si>
  <si>
    <t>TXN0398</t>
  </si>
  <si>
    <t>TXN0399</t>
  </si>
  <si>
    <t>TXN0400</t>
  </si>
  <si>
    <t>CUST0122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</si>
  <si>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</si>
  <si>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</si>
  <si>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</si>
  <si>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</si>
  <si>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</si>
  <si>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</si>
  <si>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</si>
  <si>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</si>
  <si>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</si>
  <si>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</si>
  <si>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</si>
  <si>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</si>
  <si>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</si>
  <si>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CUST0244</t>
  </si>
  <si>
    <t>TXN0414</t>
  </si>
  <si>
    <t>TXN0415</t>
  </si>
  <si>
    <t>TXN0416</t>
  </si>
  <si>
    <t>TXN0417</t>
  </si>
  <si>
    <t>CUST0178</t>
  </si>
  <si>
    <t>TXN0418</t>
  </si>
  <si>
    <t>TXN0419</t>
  </si>
  <si>
    <t>TXN0420</t>
  </si>
  <si>
    <t>TXN0421</t>
  </si>
  <si>
    <t>TXN0422</t>
  </si>
  <si>
    <t>TXN0423</t>
  </si>
  <si>
    <t>CUST0182</t>
  </si>
  <si>
    <t>TXN0424</t>
  </si>
  <si>
    <t>TXN0425</t>
  </si>
  <si>
    <t>TXN0426</t>
  </si>
  <si>
    <t>TXN0427</t>
  </si>
  <si>
    <t>TXN0428</t>
  </si>
  <si>
    <t>TXN0429</t>
  </si>
  <si>
    <t>CUST0204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</si>
  <si>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</si>
  <si>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</si>
  <si>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</si>
  <si>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</si>
  <si>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</si>
  <si>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</si>
  <si>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</si>
  <si>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</si>
  <si>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CUST0015</t>
  </si>
  <si>
    <t>TXN0438</t>
  </si>
  <si>
    <t>TXN0439</t>
  </si>
  <si>
    <t>TXN0440</t>
  </si>
  <si>
    <t>TXN0441</t>
  </si>
  <si>
    <t>TXN0442</t>
  </si>
  <si>
    <t>TXN0443</t>
  </si>
  <si>
    <t>CUST0207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</si>
  <si>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</si>
  <si>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</si>
  <si>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</si>
  <si>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</si>
  <si>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</si>
  <si>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</si>
  <si>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</si>
  <si>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</si>
  <si>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</si>
  <si>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</si>
  <si>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</si>
  <si>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</si>
  <si>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</si>
  <si>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</si>
  <si>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</si>
  <si>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</si>
  <si>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CUST0088</t>
  </si>
  <si>
    <t>TXN0460</t>
  </si>
  <si>
    <t>CUST0230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</si>
  <si>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</si>
  <si>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</si>
  <si>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</si>
  <si>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</si>
  <si>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</si>
  <si>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</si>
  <si>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</si>
  <si>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</si>
  <si>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</si>
  <si>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</si>
  <si>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</si>
  <si>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CUST0193</t>
  </si>
  <si>
    <t>TXN0472</t>
  </si>
  <si>
    <t>TXN0473</t>
  </si>
  <si>
    <t>TXN0474</t>
  </si>
  <si>
    <t>TXN0475</t>
  </si>
  <si>
    <t>CUST0239</t>
  </si>
  <si>
    <t>TXN0476</t>
  </si>
  <si>
    <t>CUST0060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</si>
  <si>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</si>
  <si>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</si>
  <si>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</si>
  <si>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</si>
  <si>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</si>
  <si>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</si>
  <si>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</si>
  <si>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</si>
  <si>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</si>
  <si>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</si>
  <si>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</si>
  <si>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</si>
  <si>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</si>
  <si>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</si>
  <si>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</si>
  <si>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</si>
  <si>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</si>
  <si>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</si>
  <si>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</si>
  <si>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</si>
  <si>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</si>
  <si>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CUST0034</t>
  </si>
  <si>
    <t>TXN0498</t>
  </si>
  <si>
    <t>TXN0499</t>
  </si>
  <si>
    <t>TXN0500</t>
  </si>
  <si>
    <t>Column</t>
  </si>
  <si>
    <t>Meaning</t>
  </si>
  <si>
    <t>Unique transaction identifier</t>
  </si>
  <si>
    <t>Date of the transaction</t>
  </si>
  <si>
    <t>Unique customer identifier</t>
  </si>
  <si>
    <t>Customer's bank</t>
  </si>
  <si>
    <t>Payment channel used</t>
  </si>
  <si>
    <t>Transaction value in INR</t>
  </si>
  <si>
    <t>Transaction outcome</t>
  </si>
  <si>
    <t>Reason for failed transaction; blank for non-failed transactions</t>
  </si>
  <si>
    <t>Customer city</t>
  </si>
  <si>
    <t>Customer category</t>
  </si>
  <si>
    <t>Device used for the transaction</t>
  </si>
  <si>
    <t>Total Transactions</t>
  </si>
  <si>
    <t>Total Transaction value</t>
  </si>
  <si>
    <t>Successful Transactions</t>
  </si>
  <si>
    <t>Failed Transactions</t>
  </si>
  <si>
    <t>Pending Transactions</t>
  </si>
  <si>
    <t>Success Rate</t>
  </si>
  <si>
    <t>Failure Rate</t>
  </si>
  <si>
    <t>Payment Method</t>
  </si>
  <si>
    <t>Transaction Count</t>
  </si>
  <si>
    <t>Grand Total</t>
  </si>
  <si>
    <t>Count of Transaction_ID</t>
  </si>
  <si>
    <t>Column Labels</t>
  </si>
  <si>
    <t>BANK FAILURE ANALYSIS</t>
  </si>
  <si>
    <t>BANK</t>
  </si>
  <si>
    <t>BANK TRANSACTION PERFORMANCE ANALYSIS</t>
  </si>
  <si>
    <t>Failure Reason</t>
  </si>
  <si>
    <t>FINTECH PAYMENT TRANSACTION ANALYSIS</t>
  </si>
  <si>
    <t>KPI</t>
  </si>
  <si>
    <t>Transaction Value</t>
  </si>
  <si>
    <t>Values</t>
  </si>
  <si>
    <t>payment method</t>
  </si>
  <si>
    <t>transactions</t>
  </si>
  <si>
    <t>Total BANK FAILURE ANALYSIS</t>
  </si>
  <si>
    <t>Total Count of Transaction_ID</t>
  </si>
  <si>
    <t>Axis bank</t>
  </si>
  <si>
    <t>HDFC bank</t>
  </si>
  <si>
    <t xml:space="preserve">ICICI bank </t>
  </si>
  <si>
    <t>Kotak Mahindra bank</t>
  </si>
  <si>
    <t>KEY INSIGHTS</t>
  </si>
  <si>
    <t>1.UPI accounts for 53.4% of transactions.</t>
  </si>
  <si>
    <t>2.Overall success rate is 84.4%.</t>
  </si>
  <si>
    <t>3.SBI has the highest failure rate at 15%.</t>
  </si>
  <si>
    <t>4.Fraud Check is the most common failure reason.</t>
  </si>
  <si>
    <t>State  bank of India</t>
  </si>
  <si>
    <t>500 Synthetic Payment Transaction|Excel &amp; MySQL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</si>
</sst>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₹&quot;\ * #,##0_ ;_ &quot;₹&quot;\ * \-#,##0_ ;_ &quot;₹&quot;\ * &quot;-&quot;_ ;_ @_ "/>
    <numFmt numFmtId="44" formatCode="_ &quot;₹&quot;\ * #,##0.00_ ;_ &quot;₹&quot;\ * \-#,##0.00_ ;_ &quot;₹&quot;\ * &quot;-&quot;??_ ;_ @_ "/>
    <numFmt numFmtId="164" formatCode="dd\-mmm\-yyyy"/>
    <numFmt numFmtId="165" formatCode="\₹#,##0.00"/>
    <numFmt numFmtId="166" formatCode="0.0%"/>
    <numFmt numFmtId="167" formatCode="[$₹-439]#,##0.00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 Black"/>
      <family val="2"/>
    </font>
    <font>
      <b/>
      <sz val="20"/>
      <color theme="1"/>
      <name val="Arial Black"/>
      <family val="2"/>
    </font>
    <font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9" fontId="0" fillId="0" borderId="0" xfId="3" applyFont="1"/>
    <xf numFmtId="42" fontId="0" fillId="0" borderId="0" xfId="2" applyFont="1"/>
    <xf numFmtId="166" fontId="0" fillId="0" borderId="0" xfId="3" applyNumberFormat="1" applyFon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0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7" fontId="3" fillId="0" borderId="0" xfId="1" applyNumberFormat="1" applyFont="1"/>
    <xf numFmtId="0" fontId="8" fillId="0" borderId="0" xfId="0" applyFont="1"/>
    <xf numFmtId="10" fontId="0" fillId="0" borderId="0" xfId="3" applyNumberFormat="1" applyFont="1"/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9" fillId="0" borderId="0" xfId="0" applyFont="1" applyAlignment="1">
      <alignment wrapText="1"/>
    </xf>
  </cellXfs>
  <cellStyles count="4">
    <cellStyle name="Currency" xfId="1" builtinId="4"/>
    <cellStyle name="Currency [0]" xfId="2" builtinId="7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 Bank Failure Rate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27214238845144356"/>
          <c:y val="0.21747703412073491"/>
          <c:w val="0.46726793525809274"/>
          <c:h val="0.6896912365121026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'Bank level performance'!$K$4</c:f>
              <c:strCache>
                <c:ptCount val="1"/>
                <c:pt idx="0">
                  <c:v>Failure Rate</c:v>
                </c:pt>
              </c:strCache>
            </c:strRef>
          </c:tx>
          <c:invertIfNegative val="0"/>
          <c:cat>
            <c:strRef>
              <c:f>'Bank level performance'!$J$5:$J$10</c:f>
              <c:strCache>
                <c:ptCount val="6"/>
                <c:pt idx="1">
                  <c:v>Axis bank</c:v>
                </c:pt>
                <c:pt idx="2">
                  <c:v>HDFC bank</c:v>
                </c:pt>
                <c:pt idx="3">
                  <c:v>ICICI bank </c:v>
                </c:pt>
                <c:pt idx="4">
                  <c:v>Kotak Mahindra bank</c:v>
                </c:pt>
                <c:pt idx="5">
                  <c:v>State  bank of India</c:v>
                </c:pt>
              </c:strCache>
            </c:strRef>
          </c:cat>
          <c:val>
            <c:numRef>
              <c:f>'Bank level performance'!$K$5:$K$10</c:f>
              <c:numCache>
                <c:formatCode>0.00%</c:formatCode>
                <c:ptCount val="6"/>
                <c:pt idx="1">
                  <c:v>0.12380952380952381</c:v>
                </c:pt>
                <c:pt idx="2">
                  <c:v>0.12727272727272726</c:v>
                </c:pt>
                <c:pt idx="3">
                  <c:v>7.4468085106382975E-2</c:v>
                </c:pt>
                <c:pt idx="4">
                  <c:v>0.12087912087912088</c:v>
                </c:pt>
                <c:pt idx="5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B3-482E-8CA1-DB56A3328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5905280"/>
        <c:axId val="265906816"/>
      </c:barChart>
      <c:catAx>
        <c:axId val="26590528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265906816"/>
        <c:crosses val="autoZero"/>
        <c:auto val="1"/>
        <c:lblAlgn val="ctr"/>
        <c:lblOffset val="100"/>
        <c:noMultiLvlLbl val="0"/>
      </c:catAx>
      <c:valAx>
        <c:axId val="26590681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659052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[FinTech_Payment_Transactions_Analysis.xlsx]payment method!PivotTable4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Transactions by Payment Method</a:t>
            </a:r>
          </a:p>
        </c:rich>
      </c:tx>
      <c:layout>
        <c:manualLayout>
          <c:xMode val="edge"/>
          <c:yMode val="edge"/>
          <c:x val="0.20936111111111111"/>
          <c:y val="2.8954389807234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6666666666666666E-2"/>
          <c:y val="0.19747918513497073"/>
          <c:w val="0.93888888888888888"/>
          <c:h val="0.6543912190937222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'payment method'!$B$3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'payment method'!$A$4:$A$9</c:f>
              <c:strCache>
                <c:ptCount val="5"/>
                <c:pt idx="0">
                  <c:v>Credit Card</c:v>
                </c:pt>
                <c:pt idx="1">
                  <c:v>Debit Card</c:v>
                </c:pt>
                <c:pt idx="2">
                  <c:v>Net Banking</c:v>
                </c:pt>
                <c:pt idx="3">
                  <c:v>UPI</c:v>
                </c:pt>
                <c:pt idx="4">
                  <c:v>Wallet</c:v>
                </c:pt>
              </c:strCache>
            </c:strRef>
          </c:cat>
          <c:val>
            <c:numRef>
              <c:f>'payment method'!$B$4:$B$9</c:f>
              <c:numCache>
                <c:formatCode>General</c:formatCode>
                <c:ptCount val="5"/>
                <c:pt idx="0">
                  <c:v>42</c:v>
                </c:pt>
                <c:pt idx="1">
                  <c:v>80</c:v>
                </c:pt>
                <c:pt idx="2">
                  <c:v>65</c:v>
                </c:pt>
                <c:pt idx="3">
                  <c:v>267</c:v>
                </c:pt>
                <c:pt idx="4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3C-46CA-8D16-8B7323C9A4A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204947456"/>
        <c:axId val="204949376"/>
      </c:barChart>
      <c:catAx>
        <c:axId val="2049474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49376"/>
        <c:crosses val="autoZero"/>
        <c:auto val="1"/>
        <c:lblAlgn val="ctr"/>
        <c:lblOffset val="100"/>
        <c:noMultiLvlLbl val="0"/>
      </c:catAx>
      <c:valAx>
        <c:axId val="2049493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4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 Bank Failure Rate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28603127734033246"/>
          <c:y val="0.2687868183143774"/>
          <c:w val="0.68341316710411204"/>
          <c:h val="0.6432502187226596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'Bank level performance'!$K$4</c:f>
              <c:strCache>
                <c:ptCount val="1"/>
                <c:pt idx="0">
                  <c:v>Failure Rate</c:v>
                </c:pt>
              </c:strCache>
            </c:strRef>
          </c:tx>
          <c:invertIfNegative val="0"/>
          <c:dLbls>
            <c:dLbl>
              <c:idx val="5"/>
              <c:layout>
                <c:manualLayout>
                  <c:x val="0"/>
                  <c:y val="-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207-4BCF-BDC5-7C995FAE504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'Bank level performance'!$J$5:$J$10</c:f>
              <c:strCache>
                <c:ptCount val="6"/>
                <c:pt idx="1">
                  <c:v>Axis bank</c:v>
                </c:pt>
                <c:pt idx="2">
                  <c:v>HDFC bank</c:v>
                </c:pt>
                <c:pt idx="3">
                  <c:v>ICICI bank </c:v>
                </c:pt>
                <c:pt idx="4">
                  <c:v>Kotak Mahindra bank</c:v>
                </c:pt>
                <c:pt idx="5">
                  <c:v>State  bank of India</c:v>
                </c:pt>
              </c:strCache>
            </c:strRef>
          </c:cat>
          <c:val>
            <c:numRef>
              <c:f>'Bank level performance'!$K$5:$K$10</c:f>
              <c:numCache>
                <c:formatCode>0.00%</c:formatCode>
                <c:ptCount val="6"/>
                <c:pt idx="1">
                  <c:v>0.12380952380952381</c:v>
                </c:pt>
                <c:pt idx="2">
                  <c:v>0.12727272727272726</c:v>
                </c:pt>
                <c:pt idx="3">
                  <c:v>7.4468085106382975E-2</c:v>
                </c:pt>
                <c:pt idx="4">
                  <c:v>0.12087912087912088</c:v>
                </c:pt>
                <c:pt idx="5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07-4BCF-BDC5-7C995FAE504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76525824"/>
        <c:axId val="277046784"/>
      </c:barChart>
      <c:catAx>
        <c:axId val="27652582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b="1" i="0" baseline="0">
                <a:solidFill>
                  <a:schemeClr val="tx1"/>
                </a:solidFill>
              </a:defRPr>
            </a:pPr>
            <a:endParaRPr lang="en-US"/>
          </a:p>
        </c:txPr>
        <c:crossAx val="277046784"/>
        <c:crosses val="autoZero"/>
        <c:auto val="1"/>
        <c:lblAlgn val="ctr"/>
        <c:lblOffset val="100"/>
        <c:noMultiLvlLbl val="0"/>
      </c:catAx>
      <c:valAx>
        <c:axId val="2770467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765258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[FinTech_Payment_Transactions_Analysis.xlsx]Failure analysis!PivotTable3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Payment Failure Reasons</a:t>
            </a:r>
          </a:p>
        </c:rich>
      </c:tx>
      <c:layout>
        <c:manualLayout>
          <c:xMode val="edge"/>
          <c:yMode val="edge"/>
          <c:x val="0.29191666666666666"/>
          <c:y val="6.2773403324584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1355424321959749"/>
          <c:y val="0.24615280802665629"/>
          <c:w val="0.54322353455818018"/>
          <c:h val="0.6167415908117868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'Failure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'Failure analysis'!$A$4:$A$11</c:f>
              <c:strCache>
                <c:ptCount val="7"/>
                <c:pt idx="0">
                  <c:v>Bank Declined</c:v>
                </c:pt>
                <c:pt idx="1">
                  <c:v>Daily Limit Exceeded</c:v>
                </c:pt>
                <c:pt idx="2">
                  <c:v>Fraud Check</c:v>
                </c:pt>
                <c:pt idx="3">
                  <c:v>Incorrect PIN</c:v>
                </c:pt>
                <c:pt idx="4">
                  <c:v>Insufficient Balance</c:v>
                </c:pt>
                <c:pt idx="5">
                  <c:v>Network Error</c:v>
                </c:pt>
                <c:pt idx="6">
                  <c:v>Server Downtime</c:v>
                </c:pt>
              </c:strCache>
            </c:strRef>
          </c:cat>
          <c:val>
            <c:numRef>
              <c:f>'Failure analysis'!$B$4:$B$11</c:f>
              <c:numCache>
                <c:formatCode>General</c:formatCode>
                <c:ptCount val="7"/>
                <c:pt idx="0">
                  <c:v>12</c:v>
                </c:pt>
                <c:pt idx="1">
                  <c:v>4</c:v>
                </c:pt>
                <c:pt idx="2">
                  <c:v>14</c:v>
                </c:pt>
                <c:pt idx="3">
                  <c:v>10</c:v>
                </c:pt>
                <c:pt idx="4">
                  <c:v>10</c:v>
                </c:pt>
                <c:pt idx="5">
                  <c:v>6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55-4C7F-A774-A91F9633CA0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76505728"/>
        <c:axId val="278070400"/>
      </c:barChart>
      <c:catAx>
        <c:axId val="27650572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1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bad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278070400"/>
        <c:crosses val="autoZero"/>
        <c:auto val="1"/>
        <c:lblAlgn val="ctr"/>
        <c:lblOffset val="100"/>
        <c:noMultiLvlLbl val="0"/>
      </c:catAx>
      <c:valAx>
        <c:axId val="27807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50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1234440</xdr:colOff>
      <xdr:row>12</xdr:row>
      <xdr:rowOff>72390</xdr:rowOff>
    </xdr:from>
    <xdr:to>
      <xdr:col>6</xdr:col>
      <xdr:colOff>746760</xdr:colOff>
      <xdr:row>27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106680</xdr:colOff>
      <xdr:row>12</xdr:row>
      <xdr:rowOff>167640</xdr:rowOff>
    </xdr:from>
    <xdr:to>
      <xdr:col>16</xdr:col>
      <xdr:colOff>403860</xdr:colOff>
      <xdr:row>24</xdr:row>
      <xdr:rowOff>175260</xdr:rowOff>
    </xdr:to>
    <xdr:graphicFrame macro="">
      <xdr:nvGraphicFramePr>
        <xdr:cNvPr id="7" name="Chart 6" title="Transactions by payment method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167640</xdr:colOff>
      <xdr:row>1</xdr:row>
      <xdr:rowOff>99060</xdr:rowOff>
    </xdr:from>
    <xdr:to>
      <xdr:col>11</xdr:col>
      <xdr:colOff>472440</xdr:colOff>
      <xdr:row>11</xdr:row>
      <xdr:rowOff>175260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68580</xdr:colOff>
      <xdr:row>0</xdr:row>
      <xdr:rowOff>304800</xdr:rowOff>
    </xdr:from>
    <xdr:to>
      <xdr:col>19</xdr:col>
      <xdr:colOff>373380</xdr:colOff>
      <xdr:row>12</xdr:row>
      <xdr:rowOff>15240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u" refreshedDate="46301.556827430555" createdVersion="4" refreshedVersion="4" minRefreshableVersion="3" recordCount="500" xr:uid="{00000000-000A-0000-FFFF-FFFF0A000000}">
  <cacheSource type="worksheet">
    <worksheetSource ref="A1:K501" sheet="Transactions"/>
  </cacheSource>
  <cacheFields count="11">
    <cacheField name="Transaction_ID" numFmtId="0">
      <sharedItems count="500">
        <s v="TXN0001"/>
        <s v="TXN0002"/>
        <s v="TXN0003"/>
        <s v="TXN0004"/>
        <s v="TXN0005"/>
        <s v="TXN0006"/>
        <s v="TXN0007"/>
        <s v="TXN0008"/>
        <s v="TXN0009"/>
        <s v="TXN0010"/>
        <s v="TXN0011"/>
        <s v="TXN0012"/>
        <s v="TXN0013"/>
        <s v="TXN0014"/>
        <s v="TXN0015"/>
        <s v="TXN0016"/>
        <s v="TXN0017"/>
        <s v="TXN0018"/>
        <s v="TXN0019"/>
        <s v="TXN0020"/>
        <s v="TXN0021"/>
        <s v="TXN0022"/>
        <s v="TXN0023"/>
        <s v="TXN0024"/>
        <s v="TXN0025"/>
        <s v="TXN0026"/>
        <s v="TXN0027"/>
        <s v="TXN0028"/>
        <s v="TXN0029"/>
        <s v="TXN0030"/>
        <s v="TXN0031"/>
        <s v="TXN0032"/>
        <s v="TXN0033"/>
        <s v="TXN0034"/>
        <s v="TXN0035"/>
        <s v="TXN0036"/>
        <s v="TXN0037"/>
        <s v="TXN0038"/>
        <s v="TXN0039"/>
        <s v="TXN0040"/>
        <s v="TXN0041"/>
        <s v="TXN0042"/>
        <s v="TXN0043"/>
        <s v="TXN0044"/>
        <s v="TXN0045"/>
        <s v="TXN0046"/>
        <s v="TXN0047"/>
        <s v="TXN0048"/>
        <s v="TXN0049"/>
        <s v="TXN0050"/>
        <s v="TXN0051"/>
        <s v="TXN0052"/>
        <s v="TXN0053"/>
        <s v="TXN0054"/>
        <s v="TXN0055"/>
        <s v="TXN0056"/>
        <s v="TXN0057"/>
        <s v="TXN0058"/>
        <s v="TXN0059"/>
        <s v="TXN0060"/>
        <s v="TXN0061"/>
        <s v="TXN0062"/>
        <s v="TXN0063"/>
        <s v="TXN0064"/>
        <s v="TXN0065"/>
        <s v="TXN0066"/>
        <s v="TXN0067"/>
        <s v="TXN0068"/>
        <s v="TXN0069"/>
        <s v="TXN0070"/>
        <s v="TXN0071"/>
        <s v="TXN0072"/>
        <s v="TXN0073"/>
        <s v="TXN0074"/>
        <s v="TXN0075"/>
        <s v="TXN0076"/>
        <s v="TXN0077"/>
        <s v="TXN0078"/>
        <s v="TXN0079"/>
        <s v="TXN0080"/>
        <s v="TXN0081"/>
        <s v="TXN0082"/>
        <s v="TXN0083"/>
        <s v="TXN0084"/>
        <s v="TXN0085"/>
        <s v="TXN0086"/>
        <s v="TXN0087"/>
        <s v="TXN0088"/>
        <s v="TXN0089"/>
        <s v="TXN0090"/>
        <s v="TXN0091"/>
        <s v="TXN0092"/>
        <s v="TXN0093"/>
        <s v="TXN0094"/>
        <s v="TXN0095"/>
        <s v="TXN0096"/>
        <s v="TXN0097"/>
        <s v="TXN0098"/>
        <s v="TXN0099"/>
        <s v="TXN0100"/>
        <s v="TXN0101"/>
        <s v="TXN0102"/>
        <s v="TXN0103"/>
        <s v="TXN0104"/>
        <s v="TXN0105"/>
        <s v="TXN0106"/>
        <s v="TXN0107"/>
        <s v="TXN0108"/>
        <s v="TXN0109"/>
        <s v="TXN0110"/>
        <s v="TXN0111"/>
        <s v="TXN0112"/>
        <s v="TXN0113"/>
        <s v="TXN0114"/>
        <s v="TXN0115"/>
        <s v="TXN0116"/>
        <s v="TXN0117"/>
        <s v="TXN0118"/>
        <s v="TXN0119"/>
        <s v="TXN0120"/>
        <s v="TXN0121"/>
        <s v="TXN0122"/>
        <s v="TXN0123"/>
        <s v="TXN0124"/>
        <s v="TXN0125"/>
        <s v="TXN0126"/>
        <s v="TXN0127"/>
        <s v="TXN0128"/>
        <s v="TXN0129"/>
        <s v="TXN0130"/>
        <s v="TXN0131"/>
        <s v="TXN0132"/>
        <s v="TXN0133"/>
        <s v="TXN0134"/>
        <s v="TXN0135"/>
        <s v="TXN0136"/>
        <s v="TXN0137"/>
        <s v="TXN0138"/>
        <s v="TXN0139"/>
        <s v="TXN0140"/>
        <s v="TXN0141"/>
        <s v="TXN0142"/>
        <s v="TXN0143"/>
        <s v="TXN0144"/>
        <s v="TXN0145"/>
        <s v="TXN0146"/>
        <s v="TXN0147"/>
        <s v="TXN0148"/>
        <s v="TXN0149"/>
        <s v="TXN0150"/>
        <s v="TXN0151"/>
        <s v="TXN0152"/>
        <s v="TXN0153"/>
        <s v="TXN0154"/>
        <s v="TXN0155"/>
        <s v="TXN0156"/>
        <s v="TXN0157"/>
        <s v="TXN0158"/>
        <s v="TXN0159"/>
        <s v="TXN0160"/>
        <s v="TXN0161"/>
        <s v="TXN0162"/>
        <s v="TXN0163"/>
        <s v="TXN0164"/>
        <s v="TXN0165"/>
        <s v="TXN0166"/>
        <s v="TXN0167"/>
        <s v="TXN0168"/>
        <s v="TXN0169"/>
        <s v="TXN0170"/>
        <s v="TXN0171"/>
        <s v="TXN0172"/>
        <s v="TXN0173"/>
        <s v="TXN0174"/>
        <s v="TXN0175"/>
        <s v="TXN0176"/>
        <s v="TXN0177"/>
        <s v="TXN0178"/>
        <s v="TXN0179"/>
        <s v="TXN0180"/>
        <s v="TXN0181"/>
        <s v="TXN0182"/>
        <s v="TXN0183"/>
        <s v="TXN0184"/>
        <s v="TXN0185"/>
        <s v="TXN0186"/>
        <s v="TXN0187"/>
        <s v="TXN0188"/>
        <s v="TXN0189"/>
        <s v="TXN0190"/>
        <s v="TXN0191"/>
        <s v="TXN0192"/>
        <s v="TXN0193"/>
        <s v="TXN0194"/>
        <s v="TXN0195"/>
        <s v="TXN0196"/>
        <s v="TXN0197"/>
        <s v="TXN0198"/>
        <s v="TXN0199"/>
        <s v="TXN0200"/>
        <s v="TXN0201"/>
        <s v="TXN0202"/>
        <s v="TXN0203"/>
        <s v="TXN0204"/>
        <s v="TXN0205"/>
        <s v="TXN0206"/>
        <s v="TXN0207"/>
        <s v="TXN0208"/>
        <s v="TXN0209"/>
        <s v="TXN0210"/>
        <s v="TXN0211"/>
        <s v="TXN0212"/>
        <s v="TXN0213"/>
        <s v="TXN0214"/>
        <s v="TXN0215"/>
        <s v="TXN0216"/>
        <s v="TXN0217"/>
        <s v="TXN0218"/>
        <s v="TXN0219"/>
        <s v="TXN0220"/>
        <s v="TXN0221"/>
        <s v="TXN0222"/>
        <s v="TXN0223"/>
        <s v="TXN0224"/>
        <s v="TXN0225"/>
        <s v="TXN0226"/>
        <s v="TXN0227"/>
        <s v="TXN0228"/>
        <s v="TXN0229"/>
        <s v="TXN0230"/>
        <s v="TXN0231"/>
        <s v="TXN0232"/>
        <s v="TXN0233"/>
        <s v="TXN0234"/>
        <s v="TXN0235"/>
        <s v="TXN0236"/>
        <s v="TXN0237"/>
        <s v="TXN0238"/>
        <s v="TXN0239"/>
        <s v="TXN0240"/>
        <s v="TXN0241"/>
        <s v="TXN0242"/>
        <s v="TXN0243"/>
        <s v="TXN0244"/>
        <s v="TXN0245"/>
        <s v="TXN0246"/>
        <s v="TXN0247"/>
        <s v="TXN0248"/>
        <s v="TXN0249"/>
        <s v="TXN0250"/>
        <s v="TXN0251"/>
        <s v="TXN0252"/>
        <s v="TXN0253"/>
        <s v="TXN0254"/>
        <s v="TXN0255"/>
        <s v="TXN0256"/>
        <s v="TXN0257"/>
        <s v="TXN0258"/>
        <s v="TXN0259"/>
        <s v="TXN0260"/>
        <s v="TXN0261"/>
        <s v="TXN0262"/>
        <s v="TXN0263"/>
        <s v="TXN0264"/>
        <s v="TXN0265"/>
        <s v="TXN0266"/>
        <s v="TXN0267"/>
        <s v="TXN0268"/>
        <s v="TXN0269"/>
        <s v="TXN0270"/>
        <s v="TXN0271"/>
        <s v="TXN0272"/>
        <s v="TXN0273"/>
        <s v="TXN0274"/>
        <s v="TXN0275"/>
        <s v="TXN0276"/>
        <s v="TXN0277"/>
        <s v="TXN0278"/>
        <s v="TXN0279"/>
        <s v="TXN0280"/>
        <s v="TXN0281"/>
        <s v="TXN0282"/>
        <s v="TXN0283"/>
        <s v="TXN0284"/>
        <s v="TXN0285"/>
        <s v="TXN0286"/>
        <s v="TXN0287"/>
        <s v="TXN0288"/>
        <s v="TXN0289"/>
        <s v="TXN0290"/>
        <s v="TXN0291"/>
        <s v="TXN0292"/>
        <s v="TXN0293"/>
        <s v="TXN0294"/>
        <s v="TXN0295"/>
        <s v="TXN0296"/>
        <s v="TXN0297"/>
        <s v="TXN0298"/>
        <s v="TXN0299"/>
        <s v="TXN0300"/>
        <s v="TXN0301"/>
        <s v="TXN0302"/>
        <s v="TXN0303"/>
        <s v="TXN0304"/>
        <s v="TXN0305"/>
        <s v="TXN0306"/>
        <s v="TXN0307"/>
        <s v="TXN0308"/>
        <s v="TXN0309"/>
        <s v="TXN0310"/>
        <s v="TXN0311"/>
        <s v="TXN0312"/>
        <s v="TXN0313"/>
        <s v="TXN0314"/>
        <s v="TXN0315"/>
        <s v="TXN0316"/>
        <s v="TXN0317"/>
        <s v="TXN0318"/>
        <s v="TXN0319"/>
        <s v="TXN0320"/>
        <s v="TXN0321"/>
        <s v="TXN0322"/>
        <s v="TXN0323"/>
        <s v="TXN0324"/>
        <s v="TXN0325"/>
        <s v="TXN0326"/>
        <s v="TXN0327"/>
        <s v="TXN0328"/>
        <s v="TXN0329"/>
        <s v="TXN0330"/>
        <s v="TXN0331"/>
        <s v="TXN0332"/>
        <s v="TXN0333"/>
        <s v="TXN0334"/>
        <s v="TXN0335"/>
        <s v="TXN0336"/>
        <s v="TXN0337"/>
        <s v="TXN0338"/>
        <s v="TXN0339"/>
        <s v="TXN0340"/>
        <s v="TXN0341"/>
        <s v="TXN0342"/>
        <s v="TXN0343"/>
        <s v="TXN0344"/>
        <s v="TXN0345"/>
        <s v="TXN0346"/>
        <s v="TXN0347"/>
        <s v="TXN0348"/>
        <s v="TXN0349"/>
        <s v="TXN0350"/>
        <s v="TXN0351"/>
        <s v="TXN0352"/>
        <s v="TXN0353"/>
        <s v="TXN0354"/>
        <s v="TXN0355"/>
        <s v="TXN0356"/>
        <s v="TXN0357"/>
        <s v="TXN0358"/>
        <s v="TXN0359"/>
        <s v="TXN0360"/>
        <s v="TXN0361"/>
        <s v="TXN0362"/>
        <s v="TXN0363"/>
        <s v="TXN0364"/>
        <s v="TXN0365"/>
        <s v="TXN0366"/>
        <s v="TXN0367"/>
        <s v="TXN0368"/>
        <s v="TXN0369"/>
        <s v="TXN0370"/>
        <s v="TXN0371"/>
        <s v="TXN0372"/>
        <s v="TXN0373"/>
        <s v="TXN0374"/>
        <s v="TXN0375"/>
        <s v="TXN0376"/>
        <s v="TXN0377"/>
        <s v="TXN0378"/>
        <s v="TXN0379"/>
        <s v="TXN0380"/>
        <s v="TXN0381"/>
        <s v="TXN0382"/>
        <s v="TXN0383"/>
        <s v="TXN0384"/>
        <s v="TXN0385"/>
        <s v="TXN0386"/>
        <s v="TXN0387"/>
        <s v="TXN0388"/>
        <s v="TXN0389"/>
        <s v="TXN0390"/>
        <s v="TXN0391"/>
        <s v="TXN0392"/>
        <s v="TXN0393"/>
        <s v="TXN0394"/>
        <s v="TXN0395"/>
        <s v="TXN0396"/>
        <s v="TXN0397"/>
        <s v="TXN0398"/>
        <s v="TXN0399"/>
        <s v="TXN0400"/>
        <s v="TXN0401"/>
        <s v="TXN0402"/>
        <s v="TXN0403"/>
        <s v="TXN0404"/>
        <s v="TXN0405"/>
        <s v="TXN0406"/>
        <s v="TXN0407"/>
        <s v="TXN0408"/>
        <s v="TXN0409"/>
        <s v="TXN0410"/>
        <s v="TXN0411"/>
        <s v="TXN0412"/>
        <s v="TXN0413"/>
        <s v="TXN0414"/>
        <s v="TXN0415"/>
        <s v="TXN0416"/>
        <s v="TXN0417"/>
        <s v="TXN0418"/>
        <s v="TXN0419"/>
        <s v="TXN0420"/>
        <s v="TXN0421"/>
        <s v="TXN0422"/>
        <s v="TXN0423"/>
        <s v="TXN0424"/>
        <s v="TXN0425"/>
        <s v="TXN0426"/>
        <s v="TXN0427"/>
        <s v="TXN0428"/>
        <s v="TXN0429"/>
        <s v="TXN0430"/>
        <s v="TXN0431"/>
        <s v="TXN0432"/>
        <s v="TXN0433"/>
        <s v="TXN0434"/>
        <s v="TXN0435"/>
        <s v="TXN0436"/>
        <s v="TXN0437"/>
        <s v="TXN0438"/>
        <s v="TXN0439"/>
        <s v="TXN0440"/>
        <s v="TXN0441"/>
        <s v="TXN0442"/>
        <s v="TXN0443"/>
        <s v="TXN0444"/>
        <s v="TXN0445"/>
        <s v="TXN0446"/>
        <s v="TXN0447"/>
        <s v="TXN0448"/>
        <s v="TXN0449"/>
        <s v="TXN0450"/>
        <s v="TXN0451"/>
        <s v="TXN0452"/>
        <s v="TXN0453"/>
        <s v="TXN0454"/>
        <s v="TXN0455"/>
        <s v="TXN0456"/>
        <s v="TXN0457"/>
        <s v="TXN0458"/>
        <s v="TXN0459"/>
        <s v="TXN0460"/>
        <s v="TXN0461"/>
        <s v="TXN0462"/>
        <s v="TXN0463"/>
        <s v="TXN0464"/>
        <s v="TXN0465"/>
        <s v="TXN0466"/>
        <s v="TXN0467"/>
        <s v="TXN0468"/>
        <s v="TXN0469"/>
        <s v="TXN0470"/>
        <s v="TXN0471"/>
        <s v="TXN0472"/>
        <s v="TXN0473"/>
        <s v="TXN0474"/>
        <s v="TXN0475"/>
        <s v="TXN0476"/>
        <s v="TXN0477"/>
        <s v="TXN0478"/>
        <s v="TXN0479"/>
        <s v="TXN0480"/>
        <s v="TXN0481"/>
        <s v="TXN0482"/>
        <s v="TXN0483"/>
        <s v="TXN0484"/>
        <s v="TXN0485"/>
        <s v="TXN0486"/>
        <s v="TXN0487"/>
        <s v="TXN0488"/>
        <s v="TXN0489"/>
        <s v="TXN0490"/>
        <s v="TXN0491"/>
        <s v="TXN0492"/>
        <s v="TXN0493"/>
        <s v="TXN0494"/>
        <s v="TXN0495"/>
        <s v="TXN0496"/>
        <s v="TXN0497"/>
        <s v="TXN0498"/>
        <s v="TXN0499"/>
        <s v="TXN0500"/>
      </sharedItems>
    </cacheField>
    <cacheField name="Transaction_Date" numFmtId="164">
      <sharedItems containsSemiMixedTypes="0" containsNonDate="0" containsDate="1" containsString="0" minDate="2026-01-01T00:00:00" maxDate="2026-10-01T00:00:00"/>
    </cacheField>
    <cacheField name="Customer_ID" numFmtId="0">
      <sharedItems/>
    </cacheField>
    <cacheField name="Bank" numFmtId="0">
      <sharedItems count="5">
        <s v="Kotak Mahindra Bank"/>
        <s v="State Bank of India"/>
        <s v="HDFC Bank"/>
        <s v="Axis Bank"/>
        <s v="ICICI Bank"/>
      </sharedItems>
    </cacheField>
    <cacheField name="Payment_Method" numFmtId="0">
      <sharedItems count="5">
        <s v="Credit Card"/>
        <s v="UPI"/>
        <s v="Net Banking"/>
        <s v="Wallet"/>
        <s v="Debit Card"/>
      </sharedItems>
    </cacheField>
    <cacheField name="Amount_INR" numFmtId="165">
      <sharedItems containsSemiMixedTypes="0" containsString="0" containsNumber="1" minValue="99.14" maxValue="13774.38"/>
    </cacheField>
    <cacheField name="Status" numFmtId="0">
      <sharedItems count="3">
        <s v="Success"/>
        <s v="Failed"/>
        <s v="Pending"/>
      </sharedItems>
    </cacheField>
    <cacheField name="Failure_Reason" numFmtId="0">
      <sharedItems containsBlank="1" count="8">
        <m/>
        <s v="Network Error"/>
        <s v="Fraud Check"/>
        <s v="Insufficient Balance"/>
        <s v="Server Downtime"/>
        <s v="Incorrect PIN"/>
        <s v="Bank Declined"/>
        <s v="Daily Limit Exceeded"/>
      </sharedItems>
    </cacheField>
    <cacheField name="City" numFmtId="0">
      <sharedItems/>
    </cacheField>
    <cacheField name="Customer_Type" numFmtId="0">
      <sharedItems/>
    </cacheField>
    <cacheField name="Devi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">
  <r>
    <x v="0"/>
    <d v="2026-04-13T00:00:00"/>
    <s v="CUST0117"/>
    <x v="0"/>
    <x v="0"/>
    <n v="794.25"/>
    <x v="0"/>
    <x v="0"/>
    <s v="Chennai"/>
    <s v="Individual"/>
    <s v="Android"/>
  </r>
  <r>
    <x v="1"/>
    <d v="2026-04-10T00:00:00"/>
    <s v="CUST0192"/>
    <x v="1"/>
    <x v="1"/>
    <n v="1766.32"/>
    <x v="1"/>
    <x v="1"/>
    <s v="Pune"/>
    <s v="Individual"/>
    <s v="iOS"/>
  </r>
  <r>
    <x v="2"/>
    <d v="2026-06-10T00:00:00"/>
    <s v="CUST0208"/>
    <x v="2"/>
    <x v="1"/>
    <n v="1438.78"/>
    <x v="0"/>
    <x v="0"/>
    <s v="Bengaluru"/>
    <s v="Individual"/>
    <s v="Android"/>
  </r>
  <r>
    <x v="3"/>
    <d v="2026-09-28T00:00:00"/>
    <s v="CUST0051"/>
    <x v="1"/>
    <x v="1"/>
    <n v="285.75"/>
    <x v="0"/>
    <x v="0"/>
    <s v="Kolkata"/>
    <s v="Individual"/>
    <s v="iOS"/>
  </r>
  <r>
    <x v="4"/>
    <d v="2026-05-15T00:00:00"/>
    <s v="CUST0175"/>
    <x v="3"/>
    <x v="1"/>
    <n v="765.01"/>
    <x v="0"/>
    <x v="0"/>
    <s v="Kolkata"/>
    <s v="Individual"/>
    <s v="Android"/>
  </r>
  <r>
    <x v="5"/>
    <d v="2026-02-04T00:00:00"/>
    <s v="CUST0106"/>
    <x v="3"/>
    <x v="2"/>
    <n v="2442.21"/>
    <x v="0"/>
    <x v="0"/>
    <s v="Delhi"/>
    <s v="Small Business"/>
    <s v="Android"/>
  </r>
  <r>
    <x v="6"/>
    <d v="2026-09-17T00:00:00"/>
    <s v="CUST0111"/>
    <x v="3"/>
    <x v="3"/>
    <n v="1413.83"/>
    <x v="0"/>
    <x v="0"/>
    <s v="Mumbai"/>
    <s v="Merchant"/>
    <s v="Web"/>
  </r>
  <r>
    <x v="7"/>
    <d v="2026-02-22T00:00:00"/>
    <s v="CUST0045"/>
    <x v="2"/>
    <x v="4"/>
    <n v="2324.8200000000002"/>
    <x v="0"/>
    <x v="0"/>
    <s v="Kolkata"/>
    <s v="Individual"/>
    <s v="Android"/>
  </r>
  <r>
    <x v="8"/>
    <d v="2026-03-06T00:00:00"/>
    <s v="CUST0005"/>
    <x v="1"/>
    <x v="1"/>
    <n v="1161.45"/>
    <x v="0"/>
    <x v="0"/>
    <s v="Bengaluru"/>
    <s v="Small Business"/>
    <s v="iOS"/>
  </r>
  <r>
    <x v="9"/>
    <d v="2026-08-19T00:00:00"/>
    <s v="CUST0247"/>
    <x v="3"/>
    <x v="4"/>
    <n v="976.14"/>
    <x v="0"/>
    <x v="0"/>
    <s v="Chennai"/>
    <s v="Merchant"/>
    <s v="Android"/>
  </r>
  <r>
    <x v="10"/>
    <d v="2026-03-03T00:00:00"/>
    <s v="CUST0001"/>
    <x v="1"/>
    <x v="4"/>
    <n v="2906.96"/>
    <x v="0"/>
    <x v="0"/>
    <s v="Bengaluru"/>
    <s v="Individual"/>
    <s v="Android"/>
  </r>
  <r>
    <x v="11"/>
    <d v="2026-01-05T00:00:00"/>
    <s v="CUST0179"/>
    <x v="1"/>
    <x v="4"/>
    <n v="611.80999999999995"/>
    <x v="0"/>
    <x v="0"/>
    <s v="Mumbai"/>
    <s v="Small Business"/>
    <s v="Android"/>
  </r>
  <r>
    <x v="12"/>
    <d v="2026-03-04T00:00:00"/>
    <s v="CUST0029"/>
    <x v="3"/>
    <x v="4"/>
    <n v="1147.3499999999999"/>
    <x v="0"/>
    <x v="0"/>
    <s v="Pune"/>
    <s v="Individual"/>
    <s v="iOS"/>
  </r>
  <r>
    <x v="13"/>
    <d v="2026-02-05T00:00:00"/>
    <s v="CUST0185"/>
    <x v="1"/>
    <x v="3"/>
    <n v="2467.4899999999998"/>
    <x v="0"/>
    <x v="0"/>
    <s v="Bengaluru"/>
    <s v="Individual"/>
    <s v="Web"/>
  </r>
  <r>
    <x v="14"/>
    <d v="2026-05-14T00:00:00"/>
    <s v="CUST0225"/>
    <x v="1"/>
    <x v="1"/>
    <n v="394.75"/>
    <x v="0"/>
    <x v="0"/>
    <s v="Ahmedabad"/>
    <s v="Small Business"/>
    <s v="Web"/>
  </r>
  <r>
    <x v="15"/>
    <d v="2026-05-01T00:00:00"/>
    <s v="CUST0165"/>
    <x v="2"/>
    <x v="2"/>
    <n v="1010.74"/>
    <x v="0"/>
    <x v="0"/>
    <s v="Bengaluru"/>
    <s v="Individual"/>
    <s v="Android"/>
  </r>
  <r>
    <x v="16"/>
    <d v="2026-08-13T00:00:00"/>
    <s v="CUST0039"/>
    <x v="2"/>
    <x v="3"/>
    <n v="928.01"/>
    <x v="1"/>
    <x v="2"/>
    <s v="Kolkata"/>
    <s v="Individual"/>
    <s v="Web"/>
  </r>
  <r>
    <x v="17"/>
    <d v="2026-04-23T00:00:00"/>
    <s v="CUST0229"/>
    <x v="2"/>
    <x v="1"/>
    <n v="657.45"/>
    <x v="0"/>
    <x v="0"/>
    <s v="Bengaluru"/>
    <s v="Individual"/>
    <s v="Android"/>
  </r>
  <r>
    <x v="18"/>
    <d v="2026-08-12T00:00:00"/>
    <s v="CUST0203"/>
    <x v="3"/>
    <x v="1"/>
    <n v="1038.78"/>
    <x v="0"/>
    <x v="0"/>
    <s v="Delhi"/>
    <s v="Merchant"/>
    <s v="Android"/>
  </r>
  <r>
    <x v="19"/>
    <d v="2026-07-03T00:00:00"/>
    <s v="CUST0144"/>
    <x v="0"/>
    <x v="1"/>
    <n v="1504.53"/>
    <x v="0"/>
    <x v="0"/>
    <s v="Kolkata"/>
    <s v="Merchant"/>
    <s v="Android"/>
  </r>
  <r>
    <x v="20"/>
    <d v="2026-04-07T00:00:00"/>
    <s v="CUST0147"/>
    <x v="1"/>
    <x v="4"/>
    <n v="1225.56"/>
    <x v="0"/>
    <x v="0"/>
    <s v="Kolkata"/>
    <s v="Individual"/>
    <s v="Android"/>
  </r>
  <r>
    <x v="21"/>
    <d v="2026-05-28T00:00:00"/>
    <s v="CUST0011"/>
    <x v="3"/>
    <x v="4"/>
    <n v="488.95"/>
    <x v="1"/>
    <x v="3"/>
    <s v="Mumbai"/>
    <s v="Small Business"/>
    <s v="Android"/>
  </r>
  <r>
    <x v="22"/>
    <d v="2026-05-31T00:00:00"/>
    <s v="CUST0048"/>
    <x v="4"/>
    <x v="1"/>
    <n v="4886.91"/>
    <x v="0"/>
    <x v="0"/>
    <s v="Ahmedabad"/>
    <s v="Individual"/>
    <s v="Android"/>
  </r>
  <r>
    <x v="23"/>
    <d v="2026-09-11T00:00:00"/>
    <s v="CUST0048"/>
    <x v="0"/>
    <x v="2"/>
    <n v="1615.43"/>
    <x v="0"/>
    <x v="0"/>
    <s v="Ahmedabad"/>
    <s v="Individual"/>
    <s v="Android"/>
  </r>
  <r>
    <x v="24"/>
    <d v="2026-07-27T00:00:00"/>
    <s v="CUST0217"/>
    <x v="3"/>
    <x v="1"/>
    <n v="1907.04"/>
    <x v="0"/>
    <x v="0"/>
    <s v="Pune"/>
    <s v="Small Business"/>
    <s v="iOS"/>
  </r>
  <r>
    <x v="25"/>
    <d v="2026-04-09T00:00:00"/>
    <s v="CUST0189"/>
    <x v="4"/>
    <x v="3"/>
    <n v="2989.56"/>
    <x v="0"/>
    <x v="0"/>
    <s v="Ahmedabad"/>
    <s v="Individual"/>
    <s v="Android"/>
  </r>
  <r>
    <x v="26"/>
    <d v="2026-06-18T00:00:00"/>
    <s v="CUST0214"/>
    <x v="1"/>
    <x v="1"/>
    <n v="442.54"/>
    <x v="0"/>
    <x v="0"/>
    <s v="Mumbai"/>
    <s v="Individual"/>
    <s v="Android"/>
  </r>
  <r>
    <x v="27"/>
    <d v="2026-01-22T00:00:00"/>
    <s v="CUST0030"/>
    <x v="0"/>
    <x v="1"/>
    <n v="1177.46"/>
    <x v="0"/>
    <x v="0"/>
    <s v="Bengaluru"/>
    <s v="Merchant"/>
    <s v="iOS"/>
  </r>
  <r>
    <x v="28"/>
    <d v="2026-04-07T00:00:00"/>
    <s v="CUST0017"/>
    <x v="0"/>
    <x v="1"/>
    <n v="983.96"/>
    <x v="0"/>
    <x v="0"/>
    <s v="Ahmedabad"/>
    <s v="Individual"/>
    <s v="Android"/>
  </r>
  <r>
    <x v="29"/>
    <d v="2026-06-21T00:00:00"/>
    <s v="CUST0024"/>
    <x v="0"/>
    <x v="3"/>
    <n v="9229.9"/>
    <x v="0"/>
    <x v="0"/>
    <s v="Pune"/>
    <s v="Merchant"/>
    <s v="Android"/>
  </r>
  <r>
    <x v="30"/>
    <d v="2026-06-30T00:00:00"/>
    <s v="CUST0018"/>
    <x v="0"/>
    <x v="1"/>
    <n v="1544.38"/>
    <x v="0"/>
    <x v="0"/>
    <s v="Hyderabad"/>
    <s v="Individual"/>
    <s v="Android"/>
  </r>
  <r>
    <x v="31"/>
    <d v="2026-08-11T00:00:00"/>
    <s v="CUST0151"/>
    <x v="1"/>
    <x v="2"/>
    <n v="1246.44"/>
    <x v="0"/>
    <x v="0"/>
    <s v="Ahmedabad"/>
    <s v="Individual"/>
    <s v="Android"/>
  </r>
  <r>
    <x v="32"/>
    <d v="2026-05-07T00:00:00"/>
    <s v="CUST0247"/>
    <x v="2"/>
    <x v="0"/>
    <n v="2652.2"/>
    <x v="0"/>
    <x v="0"/>
    <s v="Mumbai"/>
    <s v="Small Business"/>
    <s v="Android"/>
  </r>
  <r>
    <x v="33"/>
    <d v="2026-01-26T00:00:00"/>
    <s v="CUST0173"/>
    <x v="2"/>
    <x v="2"/>
    <n v="1247.1300000000001"/>
    <x v="0"/>
    <x v="0"/>
    <s v="Ahmedabad"/>
    <s v="Merchant"/>
    <s v="Android"/>
  </r>
  <r>
    <x v="34"/>
    <d v="2026-01-20T00:00:00"/>
    <s v="CUST0215"/>
    <x v="3"/>
    <x v="0"/>
    <n v="3255.94"/>
    <x v="0"/>
    <x v="0"/>
    <s v="Bengaluru"/>
    <s v="Individual"/>
    <s v="Android"/>
  </r>
  <r>
    <x v="35"/>
    <d v="2026-02-20T00:00:00"/>
    <s v="CUST0070"/>
    <x v="0"/>
    <x v="1"/>
    <n v="2518.02"/>
    <x v="0"/>
    <x v="0"/>
    <s v="Pune"/>
    <s v="Individual"/>
    <s v="Android"/>
  </r>
  <r>
    <x v="36"/>
    <d v="2026-09-28T00:00:00"/>
    <s v="CUST0109"/>
    <x v="0"/>
    <x v="1"/>
    <n v="614.15"/>
    <x v="0"/>
    <x v="0"/>
    <s v="Kolkata"/>
    <s v="Individual"/>
    <s v="iOS"/>
  </r>
  <r>
    <x v="37"/>
    <d v="2026-02-16T00:00:00"/>
    <s v="CUST0145"/>
    <x v="3"/>
    <x v="4"/>
    <n v="933.52"/>
    <x v="0"/>
    <x v="0"/>
    <s v="Ahmedabad"/>
    <s v="Merchant"/>
    <s v="Android"/>
  </r>
  <r>
    <x v="38"/>
    <d v="2026-04-30T00:00:00"/>
    <s v="CUST0245"/>
    <x v="0"/>
    <x v="1"/>
    <n v="859.8"/>
    <x v="0"/>
    <x v="0"/>
    <s v="Delhi"/>
    <s v="Merchant"/>
    <s v="Web"/>
  </r>
  <r>
    <x v="39"/>
    <d v="2026-05-09T00:00:00"/>
    <s v="CUST0232"/>
    <x v="2"/>
    <x v="1"/>
    <n v="343.17"/>
    <x v="0"/>
    <x v="0"/>
    <s v="Chennai"/>
    <s v="Individual"/>
    <s v="Android"/>
  </r>
  <r>
    <x v="40"/>
    <d v="2026-08-25T00:00:00"/>
    <s v="CUST0029"/>
    <x v="1"/>
    <x v="4"/>
    <n v="1592.48"/>
    <x v="0"/>
    <x v="0"/>
    <s v="Kolkata"/>
    <s v="Individual"/>
    <s v="Android"/>
  </r>
  <r>
    <x v="41"/>
    <d v="2026-08-08T00:00:00"/>
    <s v="CUST0218"/>
    <x v="2"/>
    <x v="1"/>
    <n v="4140.58"/>
    <x v="0"/>
    <x v="0"/>
    <s v="Pune"/>
    <s v="Merchant"/>
    <s v="iOS"/>
  </r>
  <r>
    <x v="42"/>
    <d v="2026-02-08T00:00:00"/>
    <s v="CUST0138"/>
    <x v="4"/>
    <x v="4"/>
    <n v="836.43"/>
    <x v="0"/>
    <x v="0"/>
    <s v="Delhi"/>
    <s v="Merchant"/>
    <s v="Web"/>
  </r>
  <r>
    <x v="43"/>
    <d v="2026-09-07T00:00:00"/>
    <s v="CUST0247"/>
    <x v="2"/>
    <x v="3"/>
    <n v="249.57"/>
    <x v="0"/>
    <x v="0"/>
    <s v="Ahmedabad"/>
    <s v="Small Business"/>
    <s v="Android"/>
  </r>
  <r>
    <x v="44"/>
    <d v="2026-09-15T00:00:00"/>
    <s v="CUST0171"/>
    <x v="3"/>
    <x v="3"/>
    <n v="1264.5"/>
    <x v="0"/>
    <x v="0"/>
    <s v="Delhi"/>
    <s v="Individual"/>
    <s v="Android"/>
  </r>
  <r>
    <x v="45"/>
    <d v="2026-04-11T00:00:00"/>
    <s v="CUST0012"/>
    <x v="2"/>
    <x v="4"/>
    <n v="898.83"/>
    <x v="0"/>
    <x v="0"/>
    <s v="Mumbai"/>
    <s v="Small Business"/>
    <s v="Android"/>
  </r>
  <r>
    <x v="46"/>
    <d v="2026-04-05T00:00:00"/>
    <s v="CUST0162"/>
    <x v="2"/>
    <x v="4"/>
    <n v="876.73"/>
    <x v="0"/>
    <x v="0"/>
    <s v="Delhi"/>
    <s v="Individual"/>
    <s v="Web"/>
  </r>
  <r>
    <x v="47"/>
    <d v="2026-04-25T00:00:00"/>
    <s v="CUST0217"/>
    <x v="3"/>
    <x v="1"/>
    <n v="1103.8"/>
    <x v="1"/>
    <x v="4"/>
    <s v="Delhi"/>
    <s v="Small Business"/>
    <s v="iOS"/>
  </r>
  <r>
    <x v="48"/>
    <d v="2026-09-06T00:00:00"/>
    <s v="CUST0096"/>
    <x v="1"/>
    <x v="4"/>
    <n v="227.58"/>
    <x v="0"/>
    <x v="0"/>
    <s v="Mumbai"/>
    <s v="Small Business"/>
    <s v="Android"/>
  </r>
  <r>
    <x v="49"/>
    <d v="2026-06-01T00:00:00"/>
    <s v="CUST0105"/>
    <x v="0"/>
    <x v="2"/>
    <n v="3402.45"/>
    <x v="0"/>
    <x v="0"/>
    <s v="Kolkata"/>
    <s v="Individual"/>
    <s v="iOS"/>
  </r>
  <r>
    <x v="50"/>
    <d v="2026-09-30T00:00:00"/>
    <s v="CUST0076"/>
    <x v="0"/>
    <x v="1"/>
    <n v="939.73"/>
    <x v="1"/>
    <x v="5"/>
    <s v="Bengaluru"/>
    <s v="Individual"/>
    <s v="Android"/>
  </r>
  <r>
    <x v="51"/>
    <d v="2026-09-22T00:00:00"/>
    <s v="CUST0140"/>
    <x v="3"/>
    <x v="1"/>
    <n v="13774.38"/>
    <x v="0"/>
    <x v="0"/>
    <s v="Bengaluru"/>
    <s v="Individual"/>
    <s v="Android"/>
  </r>
  <r>
    <x v="52"/>
    <d v="2026-01-25T00:00:00"/>
    <s v="CUST0223"/>
    <x v="2"/>
    <x v="3"/>
    <n v="407.32"/>
    <x v="0"/>
    <x v="0"/>
    <s v="Chennai"/>
    <s v="Individual"/>
    <s v="Android"/>
  </r>
  <r>
    <x v="53"/>
    <d v="2026-05-02T00:00:00"/>
    <s v="CUST0186"/>
    <x v="0"/>
    <x v="1"/>
    <n v="1468.6"/>
    <x v="0"/>
    <x v="0"/>
    <s v="Bengaluru"/>
    <s v="Small Business"/>
    <s v="Web"/>
  </r>
  <r>
    <x v="54"/>
    <d v="2026-09-10T00:00:00"/>
    <s v="CUST0166"/>
    <x v="2"/>
    <x v="1"/>
    <n v="988.57"/>
    <x v="0"/>
    <x v="0"/>
    <s v="Delhi"/>
    <s v="Merchant"/>
    <s v="Android"/>
  </r>
  <r>
    <x v="55"/>
    <d v="2026-05-16T00:00:00"/>
    <s v="CUST0132"/>
    <x v="2"/>
    <x v="1"/>
    <n v="2915.19"/>
    <x v="2"/>
    <x v="0"/>
    <s v="Pune"/>
    <s v="Small Business"/>
    <s v="Web"/>
  </r>
  <r>
    <x v="56"/>
    <d v="2026-03-11T00:00:00"/>
    <s v="CUST0141"/>
    <x v="1"/>
    <x v="1"/>
    <n v="1061.22"/>
    <x v="0"/>
    <x v="0"/>
    <s v="Delhi"/>
    <s v="Merchant"/>
    <s v="Android"/>
  </r>
  <r>
    <x v="57"/>
    <d v="2026-08-30T00:00:00"/>
    <s v="CUST0001"/>
    <x v="4"/>
    <x v="1"/>
    <n v="4844.8"/>
    <x v="0"/>
    <x v="0"/>
    <s v="Kolkata"/>
    <s v="Individual"/>
    <s v="Android"/>
  </r>
  <r>
    <x v="58"/>
    <d v="2026-07-09T00:00:00"/>
    <s v="CUST0173"/>
    <x v="2"/>
    <x v="1"/>
    <n v="794.83"/>
    <x v="2"/>
    <x v="0"/>
    <s v="Pune"/>
    <s v="Individual"/>
    <s v="Web"/>
  </r>
  <r>
    <x v="59"/>
    <d v="2026-05-29T00:00:00"/>
    <s v="CUST0185"/>
    <x v="0"/>
    <x v="1"/>
    <n v="189.75"/>
    <x v="0"/>
    <x v="0"/>
    <s v="Bengaluru"/>
    <s v="Merchant"/>
    <s v="Android"/>
  </r>
  <r>
    <x v="60"/>
    <d v="2026-02-16T00:00:00"/>
    <s v="CUST0012"/>
    <x v="0"/>
    <x v="1"/>
    <n v="3563.27"/>
    <x v="0"/>
    <x v="0"/>
    <s v="Pune"/>
    <s v="Individual"/>
    <s v="Web"/>
  </r>
  <r>
    <x v="61"/>
    <d v="2026-08-12T00:00:00"/>
    <s v="CUST0090"/>
    <x v="3"/>
    <x v="1"/>
    <n v="2463.9699999999998"/>
    <x v="0"/>
    <x v="0"/>
    <s v="Ahmedabad"/>
    <s v="Individual"/>
    <s v="Android"/>
  </r>
  <r>
    <x v="62"/>
    <d v="2026-05-16T00:00:00"/>
    <s v="CUST0161"/>
    <x v="2"/>
    <x v="1"/>
    <n v="2603.2800000000002"/>
    <x v="0"/>
    <x v="0"/>
    <s v="Kolkata"/>
    <s v="Merchant"/>
    <s v="iOS"/>
  </r>
  <r>
    <x v="63"/>
    <d v="2026-07-31T00:00:00"/>
    <s v="CUST0047"/>
    <x v="0"/>
    <x v="4"/>
    <n v="308.73"/>
    <x v="1"/>
    <x v="6"/>
    <s v="Hyderabad"/>
    <s v="Merchant"/>
    <s v="Web"/>
  </r>
  <r>
    <x v="64"/>
    <d v="2026-01-10T00:00:00"/>
    <s v="CUST0177"/>
    <x v="2"/>
    <x v="3"/>
    <n v="2906.36"/>
    <x v="1"/>
    <x v="5"/>
    <s v="Bengaluru"/>
    <s v="Individual"/>
    <s v="Android"/>
  </r>
  <r>
    <x v="65"/>
    <d v="2026-04-08T00:00:00"/>
    <s v="CUST0095"/>
    <x v="2"/>
    <x v="1"/>
    <n v="844.04"/>
    <x v="0"/>
    <x v="0"/>
    <s v="Hyderabad"/>
    <s v="Individual"/>
    <s v="Web"/>
  </r>
  <r>
    <x v="66"/>
    <d v="2026-05-13T00:00:00"/>
    <s v="CUST0110"/>
    <x v="0"/>
    <x v="0"/>
    <n v="1204.73"/>
    <x v="0"/>
    <x v="0"/>
    <s v="Delhi"/>
    <s v="Small Business"/>
    <s v="Android"/>
  </r>
  <r>
    <x v="67"/>
    <d v="2026-01-01T00:00:00"/>
    <s v="CUST0092"/>
    <x v="0"/>
    <x v="3"/>
    <n v="1243.04"/>
    <x v="0"/>
    <x v="0"/>
    <s v="Kolkata"/>
    <s v="Individual"/>
    <s v="iOS"/>
  </r>
  <r>
    <x v="68"/>
    <d v="2026-04-05T00:00:00"/>
    <s v="CUST0222"/>
    <x v="1"/>
    <x v="1"/>
    <n v="1539.65"/>
    <x v="1"/>
    <x v="2"/>
    <s v="Bengaluru"/>
    <s v="Individual"/>
    <s v="Web"/>
  </r>
  <r>
    <x v="69"/>
    <d v="2026-09-08T00:00:00"/>
    <s v="CUST0226"/>
    <x v="0"/>
    <x v="1"/>
    <n v="684.52"/>
    <x v="1"/>
    <x v="4"/>
    <s v="Hyderabad"/>
    <s v="Individual"/>
    <s v="Web"/>
  </r>
  <r>
    <x v="70"/>
    <d v="2026-04-08T00:00:00"/>
    <s v="CUST0247"/>
    <x v="4"/>
    <x v="1"/>
    <n v="2225.1799999999998"/>
    <x v="1"/>
    <x v="2"/>
    <s v="Kolkata"/>
    <s v="Individual"/>
    <s v="Android"/>
  </r>
  <r>
    <x v="71"/>
    <d v="2026-04-16T00:00:00"/>
    <s v="CUST0084"/>
    <x v="0"/>
    <x v="2"/>
    <n v="5593.81"/>
    <x v="0"/>
    <x v="0"/>
    <s v="Hyderabad"/>
    <s v="Individual"/>
    <s v="Web"/>
  </r>
  <r>
    <x v="72"/>
    <d v="2026-03-10T00:00:00"/>
    <s v="CUST0183"/>
    <x v="1"/>
    <x v="1"/>
    <n v="1194.43"/>
    <x v="0"/>
    <x v="0"/>
    <s v="Bengaluru"/>
    <s v="Individual"/>
    <s v="Android"/>
  </r>
  <r>
    <x v="73"/>
    <d v="2026-04-05T00:00:00"/>
    <s v="CUST0093"/>
    <x v="3"/>
    <x v="1"/>
    <n v="1623.62"/>
    <x v="1"/>
    <x v="5"/>
    <s v="Ahmedabad"/>
    <s v="Small Business"/>
    <s v="Android"/>
  </r>
  <r>
    <x v="74"/>
    <d v="2026-06-09T00:00:00"/>
    <s v="CUST0001"/>
    <x v="0"/>
    <x v="1"/>
    <n v="858.39"/>
    <x v="0"/>
    <x v="0"/>
    <s v="Delhi"/>
    <s v="Individual"/>
    <s v="Android"/>
  </r>
  <r>
    <x v="75"/>
    <d v="2026-05-13T00:00:00"/>
    <s v="CUST0073"/>
    <x v="4"/>
    <x v="1"/>
    <n v="839.93"/>
    <x v="0"/>
    <x v="0"/>
    <s v="Pune"/>
    <s v="Individual"/>
    <s v="Android"/>
  </r>
  <r>
    <x v="76"/>
    <d v="2026-09-06T00:00:00"/>
    <s v="CUST0099"/>
    <x v="1"/>
    <x v="1"/>
    <n v="5235.76"/>
    <x v="1"/>
    <x v="3"/>
    <s v="Chennai"/>
    <s v="Individual"/>
    <s v="Android"/>
  </r>
  <r>
    <x v="77"/>
    <d v="2026-09-10T00:00:00"/>
    <s v="CUST0014"/>
    <x v="4"/>
    <x v="3"/>
    <n v="1035"/>
    <x v="0"/>
    <x v="0"/>
    <s v="Kolkata"/>
    <s v="Individual"/>
    <s v="Android"/>
  </r>
  <r>
    <x v="78"/>
    <d v="2026-07-06T00:00:00"/>
    <s v="CUST0115"/>
    <x v="1"/>
    <x v="2"/>
    <n v="2272.48"/>
    <x v="0"/>
    <x v="0"/>
    <s v="Chennai"/>
    <s v="Individual"/>
    <s v="Web"/>
  </r>
  <r>
    <x v="79"/>
    <d v="2026-01-15T00:00:00"/>
    <s v="CUST0218"/>
    <x v="0"/>
    <x v="1"/>
    <n v="571.99"/>
    <x v="0"/>
    <x v="0"/>
    <s v="Kolkata"/>
    <s v="Individual"/>
    <s v="Android"/>
  </r>
  <r>
    <x v="80"/>
    <d v="2026-05-06T00:00:00"/>
    <s v="CUST0008"/>
    <x v="0"/>
    <x v="0"/>
    <n v="4253.2299999999996"/>
    <x v="0"/>
    <x v="0"/>
    <s v="Delhi"/>
    <s v="Individual"/>
    <s v="Android"/>
  </r>
  <r>
    <x v="81"/>
    <d v="2026-08-24T00:00:00"/>
    <s v="CUST0184"/>
    <x v="2"/>
    <x v="1"/>
    <n v="2324.61"/>
    <x v="0"/>
    <x v="0"/>
    <s v="Hyderabad"/>
    <s v="Individual"/>
    <s v="iOS"/>
  </r>
  <r>
    <x v="82"/>
    <d v="2026-08-17T00:00:00"/>
    <s v="CUST0131"/>
    <x v="1"/>
    <x v="1"/>
    <n v="755.41"/>
    <x v="1"/>
    <x v="7"/>
    <s v="Pune"/>
    <s v="Individual"/>
    <s v="Android"/>
  </r>
  <r>
    <x v="83"/>
    <d v="2026-08-31T00:00:00"/>
    <s v="CUST0075"/>
    <x v="0"/>
    <x v="1"/>
    <n v="466.82"/>
    <x v="0"/>
    <x v="0"/>
    <s v="Kolkata"/>
    <s v="Merchant"/>
    <s v="Web"/>
  </r>
  <r>
    <x v="84"/>
    <d v="2026-01-04T00:00:00"/>
    <s v="CUST0133"/>
    <x v="4"/>
    <x v="2"/>
    <n v="4612.1499999999996"/>
    <x v="0"/>
    <x v="0"/>
    <s v="Chennai"/>
    <s v="Individual"/>
    <s v="Android"/>
  </r>
  <r>
    <x v="85"/>
    <d v="2026-04-28T00:00:00"/>
    <s v="CUST0142"/>
    <x v="3"/>
    <x v="0"/>
    <n v="1134.78"/>
    <x v="0"/>
    <x v="0"/>
    <s v="Mumbai"/>
    <s v="Small Business"/>
    <s v="Android"/>
  </r>
  <r>
    <x v="86"/>
    <d v="2026-02-07T00:00:00"/>
    <s v="CUST0151"/>
    <x v="1"/>
    <x v="1"/>
    <n v="510.67"/>
    <x v="0"/>
    <x v="0"/>
    <s v="Bengaluru"/>
    <s v="Individual"/>
    <s v="Android"/>
  </r>
  <r>
    <x v="87"/>
    <d v="2026-05-18T00:00:00"/>
    <s v="CUST0017"/>
    <x v="0"/>
    <x v="3"/>
    <n v="1466.87"/>
    <x v="0"/>
    <x v="0"/>
    <s v="Ahmedabad"/>
    <s v="Small Business"/>
    <s v="Android"/>
  </r>
  <r>
    <x v="88"/>
    <d v="2026-09-22T00:00:00"/>
    <s v="CUST0120"/>
    <x v="2"/>
    <x v="1"/>
    <n v="697.55"/>
    <x v="0"/>
    <x v="0"/>
    <s v="Hyderabad"/>
    <s v="Small Business"/>
    <s v="Web"/>
  </r>
  <r>
    <x v="89"/>
    <d v="2026-05-17T00:00:00"/>
    <s v="CUST0093"/>
    <x v="1"/>
    <x v="1"/>
    <n v="7446.23"/>
    <x v="0"/>
    <x v="0"/>
    <s v="Bengaluru"/>
    <s v="Merchant"/>
    <s v="iOS"/>
  </r>
  <r>
    <x v="90"/>
    <d v="2026-09-24T00:00:00"/>
    <s v="CUST0132"/>
    <x v="0"/>
    <x v="1"/>
    <n v="768.31"/>
    <x v="0"/>
    <x v="0"/>
    <s v="Hyderabad"/>
    <s v="Small Business"/>
    <s v="iOS"/>
  </r>
  <r>
    <x v="91"/>
    <d v="2026-03-30T00:00:00"/>
    <s v="CUST0179"/>
    <x v="2"/>
    <x v="2"/>
    <n v="1865.57"/>
    <x v="0"/>
    <x v="0"/>
    <s v="Delhi"/>
    <s v="Small Business"/>
    <s v="Android"/>
  </r>
  <r>
    <x v="92"/>
    <d v="2026-05-05T00:00:00"/>
    <s v="CUST0104"/>
    <x v="2"/>
    <x v="1"/>
    <n v="2640.63"/>
    <x v="0"/>
    <x v="0"/>
    <s v="Mumbai"/>
    <s v="Merchant"/>
    <s v="Android"/>
  </r>
  <r>
    <x v="93"/>
    <d v="2026-04-14T00:00:00"/>
    <s v="CUST0192"/>
    <x v="1"/>
    <x v="4"/>
    <n v="637.41"/>
    <x v="0"/>
    <x v="0"/>
    <s v="Pune"/>
    <s v="Merchant"/>
    <s v="iOS"/>
  </r>
  <r>
    <x v="94"/>
    <d v="2026-01-15T00:00:00"/>
    <s v="CUST0155"/>
    <x v="1"/>
    <x v="0"/>
    <n v="1188.58"/>
    <x v="0"/>
    <x v="0"/>
    <s v="Kolkata"/>
    <s v="Merchant"/>
    <s v="iOS"/>
  </r>
  <r>
    <x v="95"/>
    <d v="2026-09-11T00:00:00"/>
    <s v="CUST0141"/>
    <x v="4"/>
    <x v="1"/>
    <n v="2646.18"/>
    <x v="0"/>
    <x v="0"/>
    <s v="Delhi"/>
    <s v="Individual"/>
    <s v="iOS"/>
  </r>
  <r>
    <x v="96"/>
    <d v="2026-06-08T00:00:00"/>
    <s v="CUST0130"/>
    <x v="0"/>
    <x v="4"/>
    <n v="668.81"/>
    <x v="0"/>
    <x v="0"/>
    <s v="Ahmedabad"/>
    <s v="Individual"/>
    <s v="Android"/>
  </r>
  <r>
    <x v="97"/>
    <d v="2026-04-05T00:00:00"/>
    <s v="CUST0074"/>
    <x v="3"/>
    <x v="4"/>
    <n v="231.06"/>
    <x v="0"/>
    <x v="0"/>
    <s v="Kolkata"/>
    <s v="Small Business"/>
    <s v="iOS"/>
  </r>
  <r>
    <x v="98"/>
    <d v="2026-02-07T00:00:00"/>
    <s v="CUST0225"/>
    <x v="1"/>
    <x v="1"/>
    <n v="884.36"/>
    <x v="0"/>
    <x v="0"/>
    <s v="Kolkata"/>
    <s v="Merchant"/>
    <s v="Android"/>
  </r>
  <r>
    <x v="99"/>
    <d v="2026-04-21T00:00:00"/>
    <s v="CUST0037"/>
    <x v="1"/>
    <x v="0"/>
    <n v="403.8"/>
    <x v="0"/>
    <x v="0"/>
    <s v="Kolkata"/>
    <s v="Individual"/>
    <s v="Web"/>
  </r>
  <r>
    <x v="100"/>
    <d v="2026-05-07T00:00:00"/>
    <s v="CUST0046"/>
    <x v="1"/>
    <x v="4"/>
    <n v="1447.74"/>
    <x v="1"/>
    <x v="3"/>
    <s v="Hyderabad"/>
    <s v="Individual"/>
    <s v="Web"/>
  </r>
  <r>
    <x v="101"/>
    <d v="2026-04-11T00:00:00"/>
    <s v="CUST0115"/>
    <x v="3"/>
    <x v="3"/>
    <n v="510.43"/>
    <x v="0"/>
    <x v="0"/>
    <s v="Pune"/>
    <s v="Small Business"/>
    <s v="Android"/>
  </r>
  <r>
    <x v="102"/>
    <d v="2026-05-29T00:00:00"/>
    <s v="CUST0090"/>
    <x v="2"/>
    <x v="1"/>
    <n v="3421.9"/>
    <x v="0"/>
    <x v="0"/>
    <s v="Hyderabad"/>
    <s v="Individual"/>
    <s v="Android"/>
  </r>
  <r>
    <x v="103"/>
    <d v="2026-03-16T00:00:00"/>
    <s v="CUST0108"/>
    <x v="4"/>
    <x v="3"/>
    <n v="715"/>
    <x v="0"/>
    <x v="0"/>
    <s v="Bengaluru"/>
    <s v="Small Business"/>
    <s v="Android"/>
  </r>
  <r>
    <x v="104"/>
    <d v="2026-09-08T00:00:00"/>
    <s v="CUST0154"/>
    <x v="0"/>
    <x v="1"/>
    <n v="998.02"/>
    <x v="0"/>
    <x v="0"/>
    <s v="Ahmedabad"/>
    <s v="Individual"/>
    <s v="iOS"/>
  </r>
  <r>
    <x v="105"/>
    <d v="2026-06-05T00:00:00"/>
    <s v="CUST0086"/>
    <x v="2"/>
    <x v="1"/>
    <n v="978.02"/>
    <x v="0"/>
    <x v="0"/>
    <s v="Chennai"/>
    <s v="Merchant"/>
    <s v="Android"/>
  </r>
  <r>
    <x v="106"/>
    <d v="2026-03-04T00:00:00"/>
    <s v="CUST0029"/>
    <x v="0"/>
    <x v="4"/>
    <n v="1200.6300000000001"/>
    <x v="1"/>
    <x v="2"/>
    <s v="Pune"/>
    <s v="Small Business"/>
    <s v="Android"/>
  </r>
  <r>
    <x v="107"/>
    <d v="2026-05-24T00:00:00"/>
    <s v="CUST0220"/>
    <x v="4"/>
    <x v="4"/>
    <n v="1351.23"/>
    <x v="0"/>
    <x v="0"/>
    <s v="Mumbai"/>
    <s v="Small Business"/>
    <s v="Android"/>
  </r>
  <r>
    <x v="108"/>
    <d v="2026-04-23T00:00:00"/>
    <s v="CUST0202"/>
    <x v="2"/>
    <x v="1"/>
    <n v="3055.32"/>
    <x v="0"/>
    <x v="0"/>
    <s v="Ahmedabad"/>
    <s v="Merchant"/>
    <s v="Web"/>
  </r>
  <r>
    <x v="109"/>
    <d v="2026-06-11T00:00:00"/>
    <s v="CUST0247"/>
    <x v="3"/>
    <x v="1"/>
    <n v="253.42"/>
    <x v="0"/>
    <x v="0"/>
    <s v="Ahmedabad"/>
    <s v="Small Business"/>
    <s v="iOS"/>
  </r>
  <r>
    <x v="110"/>
    <d v="2026-09-12T00:00:00"/>
    <s v="CUST0235"/>
    <x v="4"/>
    <x v="4"/>
    <n v="809.72"/>
    <x v="0"/>
    <x v="0"/>
    <s v="Bengaluru"/>
    <s v="Individual"/>
    <s v="iOS"/>
  </r>
  <r>
    <x v="111"/>
    <d v="2026-06-14T00:00:00"/>
    <s v="CUST0112"/>
    <x v="4"/>
    <x v="1"/>
    <n v="1732.13"/>
    <x v="0"/>
    <x v="0"/>
    <s v="Chennai"/>
    <s v="Individual"/>
    <s v="iOS"/>
  </r>
  <r>
    <x v="112"/>
    <d v="2026-02-05T00:00:00"/>
    <s v="CUST0119"/>
    <x v="0"/>
    <x v="2"/>
    <n v="3346.28"/>
    <x v="0"/>
    <x v="0"/>
    <s v="Kolkata"/>
    <s v="Individual"/>
    <s v="Web"/>
  </r>
  <r>
    <x v="113"/>
    <d v="2026-01-20T00:00:00"/>
    <s v="CUST0108"/>
    <x v="2"/>
    <x v="4"/>
    <n v="2462.09"/>
    <x v="2"/>
    <x v="0"/>
    <s v="Delhi"/>
    <s v="Merchant"/>
    <s v="Android"/>
  </r>
  <r>
    <x v="114"/>
    <d v="2026-03-22T00:00:00"/>
    <s v="CUST0237"/>
    <x v="2"/>
    <x v="2"/>
    <n v="1166.5999999999999"/>
    <x v="0"/>
    <x v="0"/>
    <s v="Delhi"/>
    <s v="Individual"/>
    <s v="Android"/>
  </r>
  <r>
    <x v="115"/>
    <d v="2026-07-20T00:00:00"/>
    <s v="CUST0215"/>
    <x v="1"/>
    <x v="1"/>
    <n v="2745.05"/>
    <x v="0"/>
    <x v="0"/>
    <s v="Pune"/>
    <s v="Merchant"/>
    <s v="Android"/>
  </r>
  <r>
    <x v="116"/>
    <d v="2026-03-16T00:00:00"/>
    <s v="CUST0076"/>
    <x v="2"/>
    <x v="2"/>
    <n v="1313.65"/>
    <x v="0"/>
    <x v="0"/>
    <s v="Pune"/>
    <s v="Individual"/>
    <s v="Android"/>
  </r>
  <r>
    <x v="117"/>
    <d v="2026-03-28T00:00:00"/>
    <s v="CUST0012"/>
    <x v="0"/>
    <x v="1"/>
    <n v="3210.38"/>
    <x v="0"/>
    <x v="0"/>
    <s v="Bengaluru"/>
    <s v="Merchant"/>
    <s v="Web"/>
  </r>
  <r>
    <x v="118"/>
    <d v="2026-08-25T00:00:00"/>
    <s v="CUST0054"/>
    <x v="4"/>
    <x v="2"/>
    <n v="565.24"/>
    <x v="0"/>
    <x v="0"/>
    <s v="Hyderabad"/>
    <s v="Individual"/>
    <s v="Android"/>
  </r>
  <r>
    <x v="119"/>
    <d v="2026-07-12T00:00:00"/>
    <s v="CUST0164"/>
    <x v="3"/>
    <x v="1"/>
    <n v="1759.52"/>
    <x v="0"/>
    <x v="0"/>
    <s v="Bengaluru"/>
    <s v="Individual"/>
    <s v="Android"/>
  </r>
  <r>
    <x v="120"/>
    <d v="2026-04-23T00:00:00"/>
    <s v="CUST0227"/>
    <x v="0"/>
    <x v="3"/>
    <n v="2102.96"/>
    <x v="0"/>
    <x v="0"/>
    <s v="Ahmedabad"/>
    <s v="Individual"/>
    <s v="Android"/>
  </r>
  <r>
    <x v="121"/>
    <d v="2026-09-01T00:00:00"/>
    <s v="CUST0073"/>
    <x v="1"/>
    <x v="1"/>
    <n v="3698.95"/>
    <x v="0"/>
    <x v="0"/>
    <s v="Hyderabad"/>
    <s v="Individual"/>
    <s v="iOS"/>
  </r>
  <r>
    <x v="122"/>
    <d v="2026-07-20T00:00:00"/>
    <s v="CUST0172"/>
    <x v="4"/>
    <x v="0"/>
    <n v="547.65"/>
    <x v="0"/>
    <x v="0"/>
    <s v="Mumbai"/>
    <s v="Individual"/>
    <s v="Web"/>
  </r>
  <r>
    <x v="123"/>
    <d v="2026-04-12T00:00:00"/>
    <s v="CUST0074"/>
    <x v="1"/>
    <x v="4"/>
    <n v="315.66000000000003"/>
    <x v="0"/>
    <x v="0"/>
    <s v="Hyderabad"/>
    <s v="Individual"/>
    <s v="Web"/>
  </r>
  <r>
    <x v="124"/>
    <d v="2026-02-26T00:00:00"/>
    <s v="CUST0208"/>
    <x v="1"/>
    <x v="1"/>
    <n v="446.11"/>
    <x v="0"/>
    <x v="0"/>
    <s v="Ahmedabad"/>
    <s v="Individual"/>
    <s v="iOS"/>
  </r>
  <r>
    <x v="125"/>
    <d v="2026-07-17T00:00:00"/>
    <s v="CUST0026"/>
    <x v="4"/>
    <x v="3"/>
    <n v="1012.72"/>
    <x v="0"/>
    <x v="0"/>
    <s v="Mumbai"/>
    <s v="Individual"/>
    <s v="iOS"/>
  </r>
  <r>
    <x v="126"/>
    <d v="2026-02-16T00:00:00"/>
    <s v="CUST0007"/>
    <x v="4"/>
    <x v="3"/>
    <n v="1296.8399999999999"/>
    <x v="0"/>
    <x v="0"/>
    <s v="Hyderabad"/>
    <s v="Individual"/>
    <s v="Android"/>
  </r>
  <r>
    <x v="127"/>
    <d v="2026-05-17T00:00:00"/>
    <s v="CUST0227"/>
    <x v="4"/>
    <x v="1"/>
    <n v="803.74"/>
    <x v="1"/>
    <x v="7"/>
    <s v="Bengaluru"/>
    <s v="Merchant"/>
    <s v="Android"/>
  </r>
  <r>
    <x v="128"/>
    <d v="2026-04-13T00:00:00"/>
    <s v="CUST0183"/>
    <x v="3"/>
    <x v="1"/>
    <n v="1289.7"/>
    <x v="0"/>
    <x v="0"/>
    <s v="Hyderabad"/>
    <s v="Individual"/>
    <s v="iOS"/>
  </r>
  <r>
    <x v="129"/>
    <d v="2026-02-08T00:00:00"/>
    <s v="CUST0016"/>
    <x v="2"/>
    <x v="1"/>
    <n v="848.42"/>
    <x v="0"/>
    <x v="0"/>
    <s v="Kolkata"/>
    <s v="Small Business"/>
    <s v="Android"/>
  </r>
  <r>
    <x v="130"/>
    <d v="2026-04-18T00:00:00"/>
    <s v="CUST0221"/>
    <x v="1"/>
    <x v="3"/>
    <n v="1276.3900000000001"/>
    <x v="0"/>
    <x v="0"/>
    <s v="Bengaluru"/>
    <s v="Merchant"/>
    <s v="Android"/>
  </r>
  <r>
    <x v="131"/>
    <d v="2026-09-02T00:00:00"/>
    <s v="CUST0084"/>
    <x v="3"/>
    <x v="1"/>
    <n v="2668.27"/>
    <x v="0"/>
    <x v="0"/>
    <s v="Chennai"/>
    <s v="Individual"/>
    <s v="Android"/>
  </r>
  <r>
    <x v="132"/>
    <d v="2026-03-06T00:00:00"/>
    <s v="CUST0181"/>
    <x v="4"/>
    <x v="1"/>
    <n v="875.62"/>
    <x v="0"/>
    <x v="0"/>
    <s v="Kolkata"/>
    <s v="Small Business"/>
    <s v="iOS"/>
  </r>
  <r>
    <x v="133"/>
    <d v="2026-03-14T00:00:00"/>
    <s v="CUST0229"/>
    <x v="2"/>
    <x v="1"/>
    <n v="971.4"/>
    <x v="0"/>
    <x v="0"/>
    <s v="Ahmedabad"/>
    <s v="Individual"/>
    <s v="Web"/>
  </r>
  <r>
    <x v="134"/>
    <d v="2026-07-17T00:00:00"/>
    <s v="CUST0117"/>
    <x v="3"/>
    <x v="3"/>
    <n v="2238.89"/>
    <x v="0"/>
    <x v="0"/>
    <s v="Kolkata"/>
    <s v="Individual"/>
    <s v="Web"/>
  </r>
  <r>
    <x v="135"/>
    <d v="2026-08-31T00:00:00"/>
    <s v="CUST0003"/>
    <x v="4"/>
    <x v="1"/>
    <n v="1402.18"/>
    <x v="0"/>
    <x v="0"/>
    <s v="Bengaluru"/>
    <s v="Individual"/>
    <s v="Android"/>
  </r>
  <r>
    <x v="136"/>
    <d v="2026-09-19T00:00:00"/>
    <s v="CUST0163"/>
    <x v="2"/>
    <x v="1"/>
    <n v="1766.1"/>
    <x v="0"/>
    <x v="0"/>
    <s v="Bengaluru"/>
    <s v="Individual"/>
    <s v="Android"/>
  </r>
  <r>
    <x v="137"/>
    <d v="2026-06-27T00:00:00"/>
    <s v="CUST0125"/>
    <x v="2"/>
    <x v="1"/>
    <n v="2938.67"/>
    <x v="0"/>
    <x v="0"/>
    <s v="Ahmedabad"/>
    <s v="Merchant"/>
    <s v="Android"/>
  </r>
  <r>
    <x v="138"/>
    <d v="2026-03-30T00:00:00"/>
    <s v="CUST0226"/>
    <x v="2"/>
    <x v="1"/>
    <n v="3830.33"/>
    <x v="1"/>
    <x v="3"/>
    <s v="Ahmedabad"/>
    <s v="Individual"/>
    <s v="Android"/>
  </r>
  <r>
    <x v="139"/>
    <d v="2026-06-19T00:00:00"/>
    <s v="CUST0038"/>
    <x v="2"/>
    <x v="2"/>
    <n v="4614.62"/>
    <x v="0"/>
    <x v="0"/>
    <s v="Hyderabad"/>
    <s v="Small Business"/>
    <s v="Android"/>
  </r>
  <r>
    <x v="140"/>
    <d v="2026-09-08T00:00:00"/>
    <s v="CUST0040"/>
    <x v="3"/>
    <x v="1"/>
    <n v="1170.55"/>
    <x v="0"/>
    <x v="0"/>
    <s v="Ahmedabad"/>
    <s v="Small Business"/>
    <s v="Android"/>
  </r>
  <r>
    <x v="141"/>
    <d v="2026-08-12T00:00:00"/>
    <s v="CUST0205"/>
    <x v="1"/>
    <x v="1"/>
    <n v="4610.0600000000004"/>
    <x v="0"/>
    <x v="0"/>
    <s v="Delhi"/>
    <s v="Individual"/>
    <s v="iOS"/>
  </r>
  <r>
    <x v="142"/>
    <d v="2026-08-25T00:00:00"/>
    <s v="CUST0045"/>
    <x v="3"/>
    <x v="2"/>
    <n v="1350.32"/>
    <x v="0"/>
    <x v="0"/>
    <s v="Mumbai"/>
    <s v="Individual"/>
    <s v="Android"/>
  </r>
  <r>
    <x v="143"/>
    <d v="2026-06-30T00:00:00"/>
    <s v="CUST0243"/>
    <x v="1"/>
    <x v="4"/>
    <n v="4396.51"/>
    <x v="1"/>
    <x v="3"/>
    <s v="Pune"/>
    <s v="Individual"/>
    <s v="Web"/>
  </r>
  <r>
    <x v="144"/>
    <d v="2026-01-31T00:00:00"/>
    <s v="CUST0194"/>
    <x v="4"/>
    <x v="1"/>
    <n v="1058.6400000000001"/>
    <x v="0"/>
    <x v="0"/>
    <s v="Kolkata"/>
    <s v="Individual"/>
    <s v="iOS"/>
  </r>
  <r>
    <x v="145"/>
    <d v="2026-08-12T00:00:00"/>
    <s v="CUST0192"/>
    <x v="1"/>
    <x v="1"/>
    <n v="1339.58"/>
    <x v="0"/>
    <x v="0"/>
    <s v="Mumbai"/>
    <s v="Individual"/>
    <s v="Android"/>
  </r>
  <r>
    <x v="146"/>
    <d v="2026-06-12T00:00:00"/>
    <s v="CUST0037"/>
    <x v="2"/>
    <x v="1"/>
    <n v="895.04"/>
    <x v="0"/>
    <x v="0"/>
    <s v="Ahmedabad"/>
    <s v="Small Business"/>
    <s v="Android"/>
  </r>
  <r>
    <x v="147"/>
    <d v="2026-07-15T00:00:00"/>
    <s v="CUST0145"/>
    <x v="3"/>
    <x v="1"/>
    <n v="725.78"/>
    <x v="0"/>
    <x v="0"/>
    <s v="Delhi"/>
    <s v="Merchant"/>
    <s v="Android"/>
  </r>
  <r>
    <x v="148"/>
    <d v="2026-07-12T00:00:00"/>
    <s v="CUST0111"/>
    <x v="3"/>
    <x v="4"/>
    <n v="772.91"/>
    <x v="0"/>
    <x v="0"/>
    <s v="Hyderabad"/>
    <s v="Individual"/>
    <s v="Android"/>
  </r>
  <r>
    <x v="149"/>
    <d v="2026-03-20T00:00:00"/>
    <s v="CUST0004"/>
    <x v="1"/>
    <x v="2"/>
    <n v="5030.03"/>
    <x v="0"/>
    <x v="0"/>
    <s v="Delhi"/>
    <s v="Individual"/>
    <s v="Android"/>
  </r>
  <r>
    <x v="150"/>
    <d v="2026-04-09T00:00:00"/>
    <s v="CUST0022"/>
    <x v="0"/>
    <x v="0"/>
    <n v="477.08"/>
    <x v="0"/>
    <x v="0"/>
    <s v="Bengaluru"/>
    <s v="Individual"/>
    <s v="Android"/>
  </r>
  <r>
    <x v="151"/>
    <d v="2026-01-27T00:00:00"/>
    <s v="CUST0187"/>
    <x v="3"/>
    <x v="2"/>
    <n v="1050.24"/>
    <x v="0"/>
    <x v="0"/>
    <s v="Ahmedabad"/>
    <s v="Individual"/>
    <s v="Web"/>
  </r>
  <r>
    <x v="152"/>
    <d v="2026-03-25T00:00:00"/>
    <s v="CUST0064"/>
    <x v="2"/>
    <x v="3"/>
    <n v="382.2"/>
    <x v="0"/>
    <x v="0"/>
    <s v="Delhi"/>
    <s v="Merchant"/>
    <s v="Android"/>
  </r>
  <r>
    <x v="153"/>
    <d v="2026-01-12T00:00:00"/>
    <s v="CUST0093"/>
    <x v="3"/>
    <x v="4"/>
    <n v="714.19"/>
    <x v="0"/>
    <x v="0"/>
    <s v="Ahmedabad"/>
    <s v="Individual"/>
    <s v="Android"/>
  </r>
  <r>
    <x v="154"/>
    <d v="2026-01-08T00:00:00"/>
    <s v="CUST0148"/>
    <x v="1"/>
    <x v="0"/>
    <n v="1839.78"/>
    <x v="1"/>
    <x v="5"/>
    <s v="Hyderabad"/>
    <s v="Individual"/>
    <s v="Android"/>
  </r>
  <r>
    <x v="155"/>
    <d v="2026-02-15T00:00:00"/>
    <s v="CUST0249"/>
    <x v="2"/>
    <x v="1"/>
    <n v="1678.84"/>
    <x v="0"/>
    <x v="0"/>
    <s v="Pune"/>
    <s v="Small Business"/>
    <s v="Android"/>
  </r>
  <r>
    <x v="156"/>
    <d v="2026-08-02T00:00:00"/>
    <s v="CUST0064"/>
    <x v="1"/>
    <x v="0"/>
    <n v="363.77"/>
    <x v="0"/>
    <x v="0"/>
    <s v="Ahmedabad"/>
    <s v="Individual"/>
    <s v="Android"/>
  </r>
  <r>
    <x v="157"/>
    <d v="2026-04-05T00:00:00"/>
    <s v="CUST0214"/>
    <x v="1"/>
    <x v="0"/>
    <n v="1832.8"/>
    <x v="1"/>
    <x v="5"/>
    <s v="Hyderabad"/>
    <s v="Small Business"/>
    <s v="Web"/>
  </r>
  <r>
    <x v="158"/>
    <d v="2026-06-28T00:00:00"/>
    <s v="CUST0002"/>
    <x v="3"/>
    <x v="3"/>
    <n v="984.94"/>
    <x v="1"/>
    <x v="3"/>
    <s v="Kolkata"/>
    <s v="Individual"/>
    <s v="iOS"/>
  </r>
  <r>
    <x v="159"/>
    <d v="2026-08-13T00:00:00"/>
    <s v="CUST0194"/>
    <x v="0"/>
    <x v="1"/>
    <n v="886.79"/>
    <x v="0"/>
    <x v="0"/>
    <s v="Pune"/>
    <s v="Individual"/>
    <s v="Android"/>
  </r>
  <r>
    <x v="160"/>
    <d v="2026-06-15T00:00:00"/>
    <s v="CUST0195"/>
    <x v="4"/>
    <x v="2"/>
    <n v="4620.8900000000003"/>
    <x v="0"/>
    <x v="0"/>
    <s v="Delhi"/>
    <s v="Individual"/>
    <s v="Android"/>
  </r>
  <r>
    <x v="161"/>
    <d v="2026-05-03T00:00:00"/>
    <s v="CUST0092"/>
    <x v="2"/>
    <x v="1"/>
    <n v="1940.52"/>
    <x v="1"/>
    <x v="1"/>
    <s v="Chennai"/>
    <s v="Individual"/>
    <s v="Android"/>
  </r>
  <r>
    <x v="162"/>
    <d v="2026-03-25T00:00:00"/>
    <s v="CUST0003"/>
    <x v="3"/>
    <x v="1"/>
    <n v="2636.59"/>
    <x v="0"/>
    <x v="0"/>
    <s v="Ahmedabad"/>
    <s v="Individual"/>
    <s v="Web"/>
  </r>
  <r>
    <x v="163"/>
    <d v="2026-05-07T00:00:00"/>
    <s v="CUST0141"/>
    <x v="4"/>
    <x v="1"/>
    <n v="803.24"/>
    <x v="0"/>
    <x v="0"/>
    <s v="Pune"/>
    <s v="Individual"/>
    <s v="Android"/>
  </r>
  <r>
    <x v="164"/>
    <d v="2026-01-25T00:00:00"/>
    <s v="CUST0051"/>
    <x v="3"/>
    <x v="3"/>
    <n v="943.71"/>
    <x v="0"/>
    <x v="0"/>
    <s v="Hyderabad"/>
    <s v="Individual"/>
    <s v="iOS"/>
  </r>
  <r>
    <x v="165"/>
    <d v="2026-03-23T00:00:00"/>
    <s v="CUST0156"/>
    <x v="1"/>
    <x v="1"/>
    <n v="1649.46"/>
    <x v="0"/>
    <x v="0"/>
    <s v="Pune"/>
    <s v="Individual"/>
    <s v="Android"/>
  </r>
  <r>
    <x v="166"/>
    <d v="2026-07-21T00:00:00"/>
    <s v="CUST0189"/>
    <x v="2"/>
    <x v="1"/>
    <n v="429.58"/>
    <x v="0"/>
    <x v="0"/>
    <s v="Chennai"/>
    <s v="Individual"/>
    <s v="Web"/>
  </r>
  <r>
    <x v="167"/>
    <d v="2026-01-24T00:00:00"/>
    <s v="CUST0177"/>
    <x v="3"/>
    <x v="1"/>
    <n v="840.88"/>
    <x v="0"/>
    <x v="0"/>
    <s v="Kolkata"/>
    <s v="Individual"/>
    <s v="Web"/>
  </r>
  <r>
    <x v="168"/>
    <d v="2026-04-06T00:00:00"/>
    <s v="CUST0243"/>
    <x v="3"/>
    <x v="1"/>
    <n v="882.7"/>
    <x v="0"/>
    <x v="0"/>
    <s v="Delhi"/>
    <s v="Individual"/>
    <s v="iOS"/>
  </r>
  <r>
    <x v="169"/>
    <d v="2026-07-05T00:00:00"/>
    <s v="CUST0099"/>
    <x v="3"/>
    <x v="2"/>
    <n v="1270.97"/>
    <x v="0"/>
    <x v="0"/>
    <s v="Bengaluru"/>
    <s v="Individual"/>
    <s v="iOS"/>
  </r>
  <r>
    <x v="170"/>
    <d v="2026-01-08T00:00:00"/>
    <s v="CUST0246"/>
    <x v="4"/>
    <x v="4"/>
    <n v="4158.12"/>
    <x v="0"/>
    <x v="0"/>
    <s v="Chennai"/>
    <s v="Individual"/>
    <s v="Android"/>
  </r>
  <r>
    <x v="171"/>
    <d v="2026-04-21T00:00:00"/>
    <s v="CUST0249"/>
    <x v="2"/>
    <x v="4"/>
    <n v="377.95"/>
    <x v="0"/>
    <x v="0"/>
    <s v="Kolkata"/>
    <s v="Individual"/>
    <s v="Android"/>
  </r>
  <r>
    <x v="172"/>
    <d v="2026-01-28T00:00:00"/>
    <s v="CUST0010"/>
    <x v="3"/>
    <x v="1"/>
    <n v="2198.54"/>
    <x v="0"/>
    <x v="0"/>
    <s v="Ahmedabad"/>
    <s v="Individual"/>
    <s v="Android"/>
  </r>
  <r>
    <x v="173"/>
    <d v="2026-07-14T00:00:00"/>
    <s v="CUST0020"/>
    <x v="4"/>
    <x v="1"/>
    <n v="471.42"/>
    <x v="0"/>
    <x v="0"/>
    <s v="Hyderabad"/>
    <s v="Individual"/>
    <s v="Web"/>
  </r>
  <r>
    <x v="174"/>
    <d v="2026-09-21T00:00:00"/>
    <s v="CUST0165"/>
    <x v="3"/>
    <x v="1"/>
    <n v="3698.37"/>
    <x v="0"/>
    <x v="0"/>
    <s v="Kolkata"/>
    <s v="Individual"/>
    <s v="iOS"/>
  </r>
  <r>
    <x v="175"/>
    <d v="2026-04-30T00:00:00"/>
    <s v="CUST0114"/>
    <x v="3"/>
    <x v="2"/>
    <n v="2270.4699999999998"/>
    <x v="0"/>
    <x v="0"/>
    <s v="Chennai"/>
    <s v="Merchant"/>
    <s v="Android"/>
  </r>
  <r>
    <x v="176"/>
    <d v="2026-05-10T00:00:00"/>
    <s v="CUST0161"/>
    <x v="2"/>
    <x v="1"/>
    <n v="942.81"/>
    <x v="0"/>
    <x v="0"/>
    <s v="Chennai"/>
    <s v="Individual"/>
    <s v="Android"/>
  </r>
  <r>
    <x v="177"/>
    <d v="2026-06-28T00:00:00"/>
    <s v="CUST0226"/>
    <x v="4"/>
    <x v="1"/>
    <n v="855.62"/>
    <x v="0"/>
    <x v="0"/>
    <s v="Kolkata"/>
    <s v="Merchant"/>
    <s v="Web"/>
  </r>
  <r>
    <x v="178"/>
    <d v="2026-08-05T00:00:00"/>
    <s v="CUST0126"/>
    <x v="1"/>
    <x v="1"/>
    <n v="2385.88"/>
    <x v="0"/>
    <x v="0"/>
    <s v="Delhi"/>
    <s v="Individual"/>
    <s v="Android"/>
  </r>
  <r>
    <x v="179"/>
    <d v="2026-08-22T00:00:00"/>
    <s v="CUST0005"/>
    <x v="4"/>
    <x v="0"/>
    <n v="1556.11"/>
    <x v="0"/>
    <x v="0"/>
    <s v="Hyderabad"/>
    <s v="Individual"/>
    <s v="iOS"/>
  </r>
  <r>
    <x v="180"/>
    <d v="2026-03-27T00:00:00"/>
    <s v="CUST0047"/>
    <x v="1"/>
    <x v="3"/>
    <n v="2195.0700000000002"/>
    <x v="0"/>
    <x v="0"/>
    <s v="Delhi"/>
    <s v="Individual"/>
    <s v="Android"/>
  </r>
  <r>
    <x v="181"/>
    <d v="2026-08-20T00:00:00"/>
    <s v="CUST0031"/>
    <x v="1"/>
    <x v="0"/>
    <n v="480.99"/>
    <x v="0"/>
    <x v="0"/>
    <s v="Ahmedabad"/>
    <s v="Small Business"/>
    <s v="Web"/>
  </r>
  <r>
    <x v="182"/>
    <d v="2026-05-22T00:00:00"/>
    <s v="CUST0169"/>
    <x v="3"/>
    <x v="1"/>
    <n v="4085.3"/>
    <x v="2"/>
    <x v="0"/>
    <s v="Delhi"/>
    <s v="Merchant"/>
    <s v="Android"/>
  </r>
  <r>
    <x v="183"/>
    <d v="2026-03-30T00:00:00"/>
    <s v="CUST0102"/>
    <x v="2"/>
    <x v="2"/>
    <n v="507.92"/>
    <x v="1"/>
    <x v="6"/>
    <s v="Hyderabad"/>
    <s v="Individual"/>
    <s v="iOS"/>
  </r>
  <r>
    <x v="184"/>
    <d v="2026-05-12T00:00:00"/>
    <s v="CUST0054"/>
    <x v="2"/>
    <x v="0"/>
    <n v="2631.39"/>
    <x v="0"/>
    <x v="0"/>
    <s v="Chennai"/>
    <s v="Individual"/>
    <s v="Web"/>
  </r>
  <r>
    <x v="185"/>
    <d v="2026-03-30T00:00:00"/>
    <s v="CUST0093"/>
    <x v="2"/>
    <x v="1"/>
    <n v="1840.03"/>
    <x v="0"/>
    <x v="0"/>
    <s v="Kolkata"/>
    <s v="Individual"/>
    <s v="Android"/>
  </r>
  <r>
    <x v="186"/>
    <d v="2026-08-12T00:00:00"/>
    <s v="CUST0003"/>
    <x v="1"/>
    <x v="1"/>
    <n v="454.96"/>
    <x v="0"/>
    <x v="0"/>
    <s v="Ahmedabad"/>
    <s v="Small Business"/>
    <s v="iOS"/>
  </r>
  <r>
    <x v="187"/>
    <d v="2026-03-26T00:00:00"/>
    <s v="CUST0133"/>
    <x v="4"/>
    <x v="2"/>
    <n v="764.6"/>
    <x v="0"/>
    <x v="0"/>
    <s v="Pune"/>
    <s v="Merchant"/>
    <s v="Web"/>
  </r>
  <r>
    <x v="188"/>
    <d v="2026-08-16T00:00:00"/>
    <s v="CUST0247"/>
    <x v="4"/>
    <x v="2"/>
    <n v="3388.97"/>
    <x v="0"/>
    <x v="0"/>
    <s v="Kolkata"/>
    <s v="Merchant"/>
    <s v="Android"/>
  </r>
  <r>
    <x v="189"/>
    <d v="2026-04-27T00:00:00"/>
    <s v="CUST0019"/>
    <x v="2"/>
    <x v="2"/>
    <n v="1831.72"/>
    <x v="1"/>
    <x v="2"/>
    <s v="Kolkata"/>
    <s v="Merchant"/>
    <s v="Android"/>
  </r>
  <r>
    <x v="190"/>
    <d v="2026-02-21T00:00:00"/>
    <s v="CUST0090"/>
    <x v="4"/>
    <x v="1"/>
    <n v="1775.59"/>
    <x v="2"/>
    <x v="0"/>
    <s v="Kolkata"/>
    <s v="Small Business"/>
    <s v="Android"/>
  </r>
  <r>
    <x v="191"/>
    <d v="2026-09-20T00:00:00"/>
    <s v="CUST0170"/>
    <x v="4"/>
    <x v="4"/>
    <n v="1401.38"/>
    <x v="0"/>
    <x v="0"/>
    <s v="Chennai"/>
    <s v="Individual"/>
    <s v="iOS"/>
  </r>
  <r>
    <x v="192"/>
    <d v="2026-02-05T00:00:00"/>
    <s v="CUST0150"/>
    <x v="3"/>
    <x v="2"/>
    <n v="647.49"/>
    <x v="0"/>
    <x v="0"/>
    <s v="Ahmedabad"/>
    <s v="Individual"/>
    <s v="Android"/>
  </r>
  <r>
    <x v="193"/>
    <d v="2026-04-28T00:00:00"/>
    <s v="CUST0121"/>
    <x v="3"/>
    <x v="1"/>
    <n v="1072.04"/>
    <x v="0"/>
    <x v="0"/>
    <s v="Mumbai"/>
    <s v="Small Business"/>
    <s v="iOS"/>
  </r>
  <r>
    <x v="194"/>
    <d v="2026-05-05T00:00:00"/>
    <s v="CUST0167"/>
    <x v="1"/>
    <x v="4"/>
    <n v="1369.86"/>
    <x v="0"/>
    <x v="0"/>
    <s v="Hyderabad"/>
    <s v="Individual"/>
    <s v="iOS"/>
  </r>
  <r>
    <x v="195"/>
    <d v="2026-07-21T00:00:00"/>
    <s v="CUST0049"/>
    <x v="1"/>
    <x v="2"/>
    <n v="1464.3"/>
    <x v="0"/>
    <x v="0"/>
    <s v="Kolkata"/>
    <s v="Individual"/>
    <s v="Android"/>
  </r>
  <r>
    <x v="196"/>
    <d v="2026-04-18T00:00:00"/>
    <s v="CUST0201"/>
    <x v="0"/>
    <x v="1"/>
    <n v="920.11"/>
    <x v="0"/>
    <x v="0"/>
    <s v="Chennai"/>
    <s v="Individual"/>
    <s v="Android"/>
  </r>
  <r>
    <x v="197"/>
    <d v="2026-03-19T00:00:00"/>
    <s v="CUST0146"/>
    <x v="2"/>
    <x v="4"/>
    <n v="1686.2"/>
    <x v="0"/>
    <x v="0"/>
    <s v="Pune"/>
    <s v="Individual"/>
    <s v="Android"/>
  </r>
  <r>
    <x v="198"/>
    <d v="2026-02-11T00:00:00"/>
    <s v="CUST0167"/>
    <x v="3"/>
    <x v="4"/>
    <n v="4223.22"/>
    <x v="0"/>
    <x v="0"/>
    <s v="Pune"/>
    <s v="Individual"/>
    <s v="iOS"/>
  </r>
  <r>
    <x v="199"/>
    <d v="2026-04-19T00:00:00"/>
    <s v="CUST0070"/>
    <x v="0"/>
    <x v="1"/>
    <n v="792.26"/>
    <x v="0"/>
    <x v="0"/>
    <s v="Mumbai"/>
    <s v="Individual"/>
    <s v="Android"/>
  </r>
  <r>
    <x v="200"/>
    <d v="2026-07-15T00:00:00"/>
    <s v="CUST0067"/>
    <x v="3"/>
    <x v="4"/>
    <n v="3038.11"/>
    <x v="0"/>
    <x v="0"/>
    <s v="Bengaluru"/>
    <s v="Individual"/>
    <s v="Android"/>
  </r>
  <r>
    <x v="201"/>
    <d v="2026-02-27T00:00:00"/>
    <s v="CUST0215"/>
    <x v="4"/>
    <x v="1"/>
    <n v="1021.35"/>
    <x v="2"/>
    <x v="0"/>
    <s v="Chennai"/>
    <s v="Individual"/>
    <s v="Android"/>
  </r>
  <r>
    <x v="202"/>
    <d v="2026-04-26T00:00:00"/>
    <s v="CUST0190"/>
    <x v="0"/>
    <x v="3"/>
    <n v="1290.01"/>
    <x v="0"/>
    <x v="0"/>
    <s v="Hyderabad"/>
    <s v="Small Business"/>
    <s v="Android"/>
  </r>
  <r>
    <x v="203"/>
    <d v="2026-06-07T00:00:00"/>
    <s v="CUST0030"/>
    <x v="3"/>
    <x v="1"/>
    <n v="720.12"/>
    <x v="0"/>
    <x v="0"/>
    <s v="Mumbai"/>
    <s v="Individual"/>
    <s v="Web"/>
  </r>
  <r>
    <x v="204"/>
    <d v="2026-08-25T00:00:00"/>
    <s v="CUST0016"/>
    <x v="3"/>
    <x v="4"/>
    <n v="682.05"/>
    <x v="1"/>
    <x v="6"/>
    <s v="Pune"/>
    <s v="Individual"/>
    <s v="iOS"/>
  </r>
  <r>
    <x v="205"/>
    <d v="2026-02-07T00:00:00"/>
    <s v="CUST0105"/>
    <x v="0"/>
    <x v="1"/>
    <n v="2169.09"/>
    <x v="0"/>
    <x v="0"/>
    <s v="Pune"/>
    <s v="Individual"/>
    <s v="Android"/>
  </r>
  <r>
    <x v="206"/>
    <d v="2026-09-15T00:00:00"/>
    <s v="CUST0163"/>
    <x v="3"/>
    <x v="1"/>
    <n v="1281.0899999999999"/>
    <x v="0"/>
    <x v="0"/>
    <s v="Pune"/>
    <s v="Individual"/>
    <s v="iOS"/>
  </r>
  <r>
    <x v="207"/>
    <d v="2026-05-23T00:00:00"/>
    <s v="CUST0082"/>
    <x v="0"/>
    <x v="3"/>
    <n v="2040.89"/>
    <x v="0"/>
    <x v="0"/>
    <s v="Kolkata"/>
    <s v="Individual"/>
    <s v="Web"/>
  </r>
  <r>
    <x v="208"/>
    <d v="2026-06-07T00:00:00"/>
    <s v="CUST0210"/>
    <x v="2"/>
    <x v="1"/>
    <n v="1837.95"/>
    <x v="0"/>
    <x v="0"/>
    <s v="Chennai"/>
    <s v="Individual"/>
    <s v="Android"/>
  </r>
  <r>
    <x v="209"/>
    <d v="2026-07-25T00:00:00"/>
    <s v="CUST0095"/>
    <x v="4"/>
    <x v="3"/>
    <n v="1881.4"/>
    <x v="0"/>
    <x v="0"/>
    <s v="Mumbai"/>
    <s v="Individual"/>
    <s v="Android"/>
  </r>
  <r>
    <x v="210"/>
    <d v="2026-09-27T00:00:00"/>
    <s v="CUST0025"/>
    <x v="2"/>
    <x v="3"/>
    <n v="814.75"/>
    <x v="0"/>
    <x v="0"/>
    <s v="Hyderabad"/>
    <s v="Individual"/>
    <s v="Android"/>
  </r>
  <r>
    <x v="211"/>
    <d v="2026-03-20T00:00:00"/>
    <s v="CUST0078"/>
    <x v="3"/>
    <x v="3"/>
    <n v="2413.6799999999998"/>
    <x v="0"/>
    <x v="0"/>
    <s v="Kolkata"/>
    <s v="Merchant"/>
    <s v="Android"/>
  </r>
  <r>
    <x v="212"/>
    <d v="2026-01-20T00:00:00"/>
    <s v="CUST0243"/>
    <x v="0"/>
    <x v="4"/>
    <n v="593.23"/>
    <x v="0"/>
    <x v="0"/>
    <s v="Bengaluru"/>
    <s v="Individual"/>
    <s v="iOS"/>
  </r>
  <r>
    <x v="213"/>
    <d v="2026-01-05T00:00:00"/>
    <s v="CUST0056"/>
    <x v="4"/>
    <x v="0"/>
    <n v="1077.08"/>
    <x v="0"/>
    <x v="0"/>
    <s v="Mumbai"/>
    <s v="Individual"/>
    <s v="Web"/>
  </r>
  <r>
    <x v="214"/>
    <d v="2026-03-24T00:00:00"/>
    <s v="CUST0103"/>
    <x v="3"/>
    <x v="1"/>
    <n v="705.02"/>
    <x v="0"/>
    <x v="0"/>
    <s v="Mumbai"/>
    <s v="Individual"/>
    <s v="Web"/>
  </r>
  <r>
    <x v="215"/>
    <d v="2026-08-09T00:00:00"/>
    <s v="CUST0227"/>
    <x v="3"/>
    <x v="4"/>
    <n v="2277.6999999999998"/>
    <x v="1"/>
    <x v="2"/>
    <s v="Pune"/>
    <s v="Individual"/>
    <s v="Android"/>
  </r>
  <r>
    <x v="216"/>
    <d v="2026-01-07T00:00:00"/>
    <s v="CUST0149"/>
    <x v="0"/>
    <x v="1"/>
    <n v="279.24"/>
    <x v="0"/>
    <x v="0"/>
    <s v="Pune"/>
    <s v="Merchant"/>
    <s v="Android"/>
  </r>
  <r>
    <x v="217"/>
    <d v="2026-09-03T00:00:00"/>
    <s v="CUST0013"/>
    <x v="0"/>
    <x v="0"/>
    <n v="9089.3799999999992"/>
    <x v="0"/>
    <x v="0"/>
    <s v="Delhi"/>
    <s v="Small Business"/>
    <s v="Android"/>
  </r>
  <r>
    <x v="218"/>
    <d v="2026-08-01T00:00:00"/>
    <s v="CUST0139"/>
    <x v="0"/>
    <x v="1"/>
    <n v="1639.68"/>
    <x v="0"/>
    <x v="0"/>
    <s v="Hyderabad"/>
    <s v="Individual"/>
    <s v="Android"/>
  </r>
  <r>
    <x v="219"/>
    <d v="2026-07-10T00:00:00"/>
    <s v="CUST0082"/>
    <x v="0"/>
    <x v="1"/>
    <n v="2689.78"/>
    <x v="0"/>
    <x v="0"/>
    <s v="Delhi"/>
    <s v="Individual"/>
    <s v="Web"/>
  </r>
  <r>
    <x v="220"/>
    <d v="2026-08-20T00:00:00"/>
    <s v="CUST0120"/>
    <x v="4"/>
    <x v="2"/>
    <n v="1672.68"/>
    <x v="0"/>
    <x v="0"/>
    <s v="Hyderabad"/>
    <s v="Merchant"/>
    <s v="Android"/>
  </r>
  <r>
    <x v="221"/>
    <d v="2026-05-09T00:00:00"/>
    <s v="CUST0028"/>
    <x v="0"/>
    <x v="2"/>
    <n v="2964.67"/>
    <x v="1"/>
    <x v="6"/>
    <s v="Mumbai"/>
    <s v="Small Business"/>
    <s v="Android"/>
  </r>
  <r>
    <x v="222"/>
    <d v="2026-07-22T00:00:00"/>
    <s v="CUST0160"/>
    <x v="2"/>
    <x v="1"/>
    <n v="193.7"/>
    <x v="1"/>
    <x v="6"/>
    <s v="Chennai"/>
    <s v="Merchant"/>
    <s v="Android"/>
  </r>
  <r>
    <x v="223"/>
    <d v="2026-03-28T00:00:00"/>
    <s v="CUST0152"/>
    <x v="0"/>
    <x v="4"/>
    <n v="1115.54"/>
    <x v="0"/>
    <x v="0"/>
    <s v="Ahmedabad"/>
    <s v="Individual"/>
    <s v="iOS"/>
  </r>
  <r>
    <x v="224"/>
    <d v="2026-06-01T00:00:00"/>
    <s v="CUST0051"/>
    <x v="3"/>
    <x v="1"/>
    <n v="1209.05"/>
    <x v="0"/>
    <x v="0"/>
    <s v="Bengaluru"/>
    <s v="Merchant"/>
    <s v="Web"/>
  </r>
  <r>
    <x v="225"/>
    <d v="2026-09-18T00:00:00"/>
    <s v="CUST0073"/>
    <x v="4"/>
    <x v="1"/>
    <n v="798.81"/>
    <x v="1"/>
    <x v="3"/>
    <s v="Pune"/>
    <s v="Individual"/>
    <s v="Android"/>
  </r>
  <r>
    <x v="226"/>
    <d v="2026-02-18T00:00:00"/>
    <s v="CUST0164"/>
    <x v="2"/>
    <x v="1"/>
    <n v="628.94000000000005"/>
    <x v="0"/>
    <x v="0"/>
    <s v="Delhi"/>
    <s v="Individual"/>
    <s v="Web"/>
  </r>
  <r>
    <x v="227"/>
    <d v="2026-05-20T00:00:00"/>
    <s v="CUST0032"/>
    <x v="4"/>
    <x v="1"/>
    <n v="620.01"/>
    <x v="0"/>
    <x v="0"/>
    <s v="Pune"/>
    <s v="Individual"/>
    <s v="Web"/>
  </r>
  <r>
    <x v="228"/>
    <d v="2026-08-14T00:00:00"/>
    <s v="CUST0114"/>
    <x v="2"/>
    <x v="3"/>
    <n v="912.66"/>
    <x v="0"/>
    <x v="0"/>
    <s v="Mumbai"/>
    <s v="Individual"/>
    <s v="Android"/>
  </r>
  <r>
    <x v="229"/>
    <d v="2026-08-01T00:00:00"/>
    <s v="CUST0222"/>
    <x v="1"/>
    <x v="4"/>
    <n v="639.49"/>
    <x v="0"/>
    <x v="0"/>
    <s v="Pune"/>
    <s v="Individual"/>
    <s v="Web"/>
  </r>
  <r>
    <x v="230"/>
    <d v="2026-04-29T00:00:00"/>
    <s v="CUST0238"/>
    <x v="0"/>
    <x v="1"/>
    <n v="922.97"/>
    <x v="0"/>
    <x v="0"/>
    <s v="Hyderabad"/>
    <s v="Individual"/>
    <s v="Web"/>
  </r>
  <r>
    <x v="231"/>
    <d v="2026-05-15T00:00:00"/>
    <s v="CUST0013"/>
    <x v="1"/>
    <x v="1"/>
    <n v="1811.99"/>
    <x v="1"/>
    <x v="6"/>
    <s v="Ahmedabad"/>
    <s v="Individual"/>
    <s v="Web"/>
  </r>
  <r>
    <x v="232"/>
    <d v="2026-09-15T00:00:00"/>
    <s v="CUST0189"/>
    <x v="1"/>
    <x v="2"/>
    <n v="1619.45"/>
    <x v="0"/>
    <x v="0"/>
    <s v="Chennai"/>
    <s v="Small Business"/>
    <s v="iOS"/>
  </r>
  <r>
    <x v="233"/>
    <d v="2026-07-03T00:00:00"/>
    <s v="CUST0128"/>
    <x v="1"/>
    <x v="4"/>
    <n v="736.24"/>
    <x v="0"/>
    <x v="0"/>
    <s v="Chennai"/>
    <s v="Small Business"/>
    <s v="Web"/>
  </r>
  <r>
    <x v="234"/>
    <d v="2026-08-17T00:00:00"/>
    <s v="CUST0224"/>
    <x v="2"/>
    <x v="1"/>
    <n v="1081.6400000000001"/>
    <x v="0"/>
    <x v="0"/>
    <s v="Kolkata"/>
    <s v="Small Business"/>
    <s v="Web"/>
  </r>
  <r>
    <x v="235"/>
    <d v="2026-01-10T00:00:00"/>
    <s v="CUST0164"/>
    <x v="1"/>
    <x v="0"/>
    <n v="479.07"/>
    <x v="0"/>
    <x v="0"/>
    <s v="Bengaluru"/>
    <s v="Small Business"/>
    <s v="Android"/>
  </r>
  <r>
    <x v="236"/>
    <d v="2026-03-27T00:00:00"/>
    <s v="CUST0223"/>
    <x v="2"/>
    <x v="2"/>
    <n v="1426.92"/>
    <x v="0"/>
    <x v="0"/>
    <s v="Delhi"/>
    <s v="Small Business"/>
    <s v="iOS"/>
  </r>
  <r>
    <x v="237"/>
    <d v="2026-03-11T00:00:00"/>
    <s v="CUST0024"/>
    <x v="0"/>
    <x v="2"/>
    <n v="1432.81"/>
    <x v="0"/>
    <x v="0"/>
    <s v="Delhi"/>
    <s v="Individual"/>
    <s v="Android"/>
  </r>
  <r>
    <x v="238"/>
    <d v="2026-08-15T00:00:00"/>
    <s v="CUST0020"/>
    <x v="0"/>
    <x v="1"/>
    <n v="1612.45"/>
    <x v="0"/>
    <x v="0"/>
    <s v="Delhi"/>
    <s v="Individual"/>
    <s v="Android"/>
  </r>
  <r>
    <x v="239"/>
    <d v="2026-09-30T00:00:00"/>
    <s v="CUST0055"/>
    <x v="3"/>
    <x v="4"/>
    <n v="622.54"/>
    <x v="0"/>
    <x v="0"/>
    <s v="Hyderabad"/>
    <s v="Individual"/>
    <s v="Android"/>
  </r>
  <r>
    <x v="240"/>
    <d v="2026-09-11T00:00:00"/>
    <s v="CUST0152"/>
    <x v="3"/>
    <x v="4"/>
    <n v="7898.14"/>
    <x v="0"/>
    <x v="0"/>
    <s v="Kolkata"/>
    <s v="Individual"/>
    <s v="iOS"/>
  </r>
  <r>
    <x v="241"/>
    <d v="2026-04-19T00:00:00"/>
    <s v="CUST0173"/>
    <x v="4"/>
    <x v="0"/>
    <n v="930.7"/>
    <x v="0"/>
    <x v="0"/>
    <s v="Pune"/>
    <s v="Individual"/>
    <s v="Web"/>
  </r>
  <r>
    <x v="242"/>
    <d v="2026-08-16T00:00:00"/>
    <s v="CUST0118"/>
    <x v="3"/>
    <x v="1"/>
    <n v="1573.31"/>
    <x v="2"/>
    <x v="0"/>
    <s v="Mumbai"/>
    <s v="Individual"/>
    <s v="iOS"/>
  </r>
  <r>
    <x v="243"/>
    <d v="2026-06-10T00:00:00"/>
    <s v="CUST0078"/>
    <x v="3"/>
    <x v="1"/>
    <n v="777.25"/>
    <x v="0"/>
    <x v="0"/>
    <s v="Kolkata"/>
    <s v="Small Business"/>
    <s v="Android"/>
  </r>
  <r>
    <x v="244"/>
    <d v="2026-05-04T00:00:00"/>
    <s v="CUST0113"/>
    <x v="2"/>
    <x v="4"/>
    <n v="2948.52"/>
    <x v="0"/>
    <x v="0"/>
    <s v="Kolkata"/>
    <s v="Individual"/>
    <s v="Android"/>
  </r>
  <r>
    <x v="245"/>
    <d v="2026-09-11T00:00:00"/>
    <s v="CUST0046"/>
    <x v="2"/>
    <x v="4"/>
    <n v="280.64"/>
    <x v="0"/>
    <x v="0"/>
    <s v="Bengaluru"/>
    <s v="Individual"/>
    <s v="Web"/>
  </r>
  <r>
    <x v="246"/>
    <d v="2026-03-10T00:00:00"/>
    <s v="CUST0231"/>
    <x v="4"/>
    <x v="2"/>
    <n v="910.01"/>
    <x v="0"/>
    <x v="0"/>
    <s v="Ahmedabad"/>
    <s v="Individual"/>
    <s v="Android"/>
  </r>
  <r>
    <x v="247"/>
    <d v="2026-05-09T00:00:00"/>
    <s v="CUST0057"/>
    <x v="3"/>
    <x v="0"/>
    <n v="1621.98"/>
    <x v="0"/>
    <x v="0"/>
    <s v="Pune"/>
    <s v="Individual"/>
    <s v="Android"/>
  </r>
  <r>
    <x v="248"/>
    <d v="2026-01-31T00:00:00"/>
    <s v="CUST0220"/>
    <x v="3"/>
    <x v="1"/>
    <n v="1152.5899999999999"/>
    <x v="0"/>
    <x v="0"/>
    <s v="Delhi"/>
    <s v="Individual"/>
    <s v="Android"/>
  </r>
  <r>
    <x v="249"/>
    <d v="2026-09-27T00:00:00"/>
    <s v="CUST0184"/>
    <x v="4"/>
    <x v="1"/>
    <n v="2207.89"/>
    <x v="0"/>
    <x v="0"/>
    <s v="Mumbai"/>
    <s v="Small Business"/>
    <s v="Android"/>
  </r>
  <r>
    <x v="250"/>
    <d v="2026-04-17T00:00:00"/>
    <s v="CUST0199"/>
    <x v="4"/>
    <x v="1"/>
    <n v="1295.06"/>
    <x v="0"/>
    <x v="0"/>
    <s v="Ahmedabad"/>
    <s v="Small Business"/>
    <s v="Web"/>
  </r>
  <r>
    <x v="251"/>
    <d v="2026-06-03T00:00:00"/>
    <s v="CUST0218"/>
    <x v="2"/>
    <x v="1"/>
    <n v="513.79"/>
    <x v="0"/>
    <x v="0"/>
    <s v="Hyderabad"/>
    <s v="Merchant"/>
    <s v="Android"/>
  </r>
  <r>
    <x v="252"/>
    <d v="2026-06-10T00:00:00"/>
    <s v="CUST0043"/>
    <x v="2"/>
    <x v="1"/>
    <n v="871.32"/>
    <x v="0"/>
    <x v="0"/>
    <s v="Mumbai"/>
    <s v="Merchant"/>
    <s v="Android"/>
  </r>
  <r>
    <x v="253"/>
    <d v="2026-06-18T00:00:00"/>
    <s v="CUST0074"/>
    <x v="2"/>
    <x v="0"/>
    <n v="799.27"/>
    <x v="0"/>
    <x v="0"/>
    <s v="Mumbai"/>
    <s v="Individual"/>
    <s v="Android"/>
  </r>
  <r>
    <x v="254"/>
    <d v="2026-01-05T00:00:00"/>
    <s v="CUST0188"/>
    <x v="0"/>
    <x v="1"/>
    <n v="857.3"/>
    <x v="0"/>
    <x v="0"/>
    <s v="Chennai"/>
    <s v="Individual"/>
    <s v="Android"/>
  </r>
  <r>
    <x v="255"/>
    <d v="2026-02-28T00:00:00"/>
    <s v="CUST0127"/>
    <x v="1"/>
    <x v="1"/>
    <n v="5418.55"/>
    <x v="1"/>
    <x v="1"/>
    <s v="Chennai"/>
    <s v="Individual"/>
    <s v="Android"/>
  </r>
  <r>
    <x v="256"/>
    <d v="2026-03-09T00:00:00"/>
    <s v="CUST0233"/>
    <x v="0"/>
    <x v="1"/>
    <n v="1315.64"/>
    <x v="0"/>
    <x v="0"/>
    <s v="Chennai"/>
    <s v="Merchant"/>
    <s v="Web"/>
  </r>
  <r>
    <x v="257"/>
    <d v="2026-06-17T00:00:00"/>
    <s v="CUST0200"/>
    <x v="4"/>
    <x v="3"/>
    <n v="4058.57"/>
    <x v="0"/>
    <x v="0"/>
    <s v="Mumbai"/>
    <s v="Individual"/>
    <s v="Android"/>
  </r>
  <r>
    <x v="258"/>
    <d v="2026-02-13T00:00:00"/>
    <s v="CUST0051"/>
    <x v="3"/>
    <x v="1"/>
    <n v="1048.08"/>
    <x v="0"/>
    <x v="0"/>
    <s v="Chennai"/>
    <s v="Small Business"/>
    <s v="Android"/>
  </r>
  <r>
    <x v="259"/>
    <d v="2026-09-24T00:00:00"/>
    <s v="CUST0085"/>
    <x v="4"/>
    <x v="1"/>
    <n v="13159.61"/>
    <x v="0"/>
    <x v="0"/>
    <s v="Ahmedabad"/>
    <s v="Individual"/>
    <s v="iOS"/>
  </r>
  <r>
    <x v="260"/>
    <d v="2026-03-13T00:00:00"/>
    <s v="CUST0080"/>
    <x v="4"/>
    <x v="2"/>
    <n v="857.98"/>
    <x v="0"/>
    <x v="0"/>
    <s v="Delhi"/>
    <s v="Individual"/>
    <s v="Android"/>
  </r>
  <r>
    <x v="261"/>
    <d v="2026-09-16T00:00:00"/>
    <s v="CUST0008"/>
    <x v="1"/>
    <x v="2"/>
    <n v="3136.43"/>
    <x v="0"/>
    <x v="0"/>
    <s v="Ahmedabad"/>
    <s v="Individual"/>
    <s v="iOS"/>
  </r>
  <r>
    <x v="262"/>
    <d v="2026-04-11T00:00:00"/>
    <s v="CUST0129"/>
    <x v="1"/>
    <x v="1"/>
    <n v="2156.9"/>
    <x v="0"/>
    <x v="0"/>
    <s v="Ahmedabad"/>
    <s v="Individual"/>
    <s v="iOS"/>
  </r>
  <r>
    <x v="263"/>
    <d v="2026-03-04T00:00:00"/>
    <s v="CUST0250"/>
    <x v="0"/>
    <x v="1"/>
    <n v="1836.91"/>
    <x v="2"/>
    <x v="0"/>
    <s v="Hyderabad"/>
    <s v="Small Business"/>
    <s v="Android"/>
  </r>
  <r>
    <x v="264"/>
    <d v="2026-08-11T00:00:00"/>
    <s v="CUST0133"/>
    <x v="1"/>
    <x v="4"/>
    <n v="628.69000000000005"/>
    <x v="0"/>
    <x v="0"/>
    <s v="Mumbai"/>
    <s v="Individual"/>
    <s v="Web"/>
  </r>
  <r>
    <x v="265"/>
    <d v="2026-08-15T00:00:00"/>
    <s v="CUST0172"/>
    <x v="0"/>
    <x v="1"/>
    <n v="1576.14"/>
    <x v="0"/>
    <x v="0"/>
    <s v="Mumbai"/>
    <s v="Small Business"/>
    <s v="Android"/>
  </r>
  <r>
    <x v="266"/>
    <d v="2026-08-01T00:00:00"/>
    <s v="CUST0213"/>
    <x v="4"/>
    <x v="2"/>
    <n v="2085.25"/>
    <x v="0"/>
    <x v="0"/>
    <s v="Ahmedabad"/>
    <s v="Small Business"/>
    <s v="Web"/>
  </r>
  <r>
    <x v="267"/>
    <d v="2026-06-12T00:00:00"/>
    <s v="CUST0176"/>
    <x v="2"/>
    <x v="1"/>
    <n v="784.35"/>
    <x v="0"/>
    <x v="0"/>
    <s v="Bengaluru"/>
    <s v="Individual"/>
    <s v="iOS"/>
  </r>
  <r>
    <x v="268"/>
    <d v="2026-05-30T00:00:00"/>
    <s v="CUST0227"/>
    <x v="1"/>
    <x v="2"/>
    <n v="2179.5100000000002"/>
    <x v="0"/>
    <x v="0"/>
    <s v="Bengaluru"/>
    <s v="Individual"/>
    <s v="iOS"/>
  </r>
  <r>
    <x v="269"/>
    <d v="2026-09-05T00:00:00"/>
    <s v="CUST0191"/>
    <x v="2"/>
    <x v="1"/>
    <n v="1908.5"/>
    <x v="0"/>
    <x v="0"/>
    <s v="Kolkata"/>
    <s v="Individual"/>
    <s v="Web"/>
  </r>
  <r>
    <x v="270"/>
    <d v="2026-03-08T00:00:00"/>
    <s v="CUST0228"/>
    <x v="0"/>
    <x v="1"/>
    <n v="1319.31"/>
    <x v="0"/>
    <x v="0"/>
    <s v="Bengaluru"/>
    <s v="Small Business"/>
    <s v="Android"/>
  </r>
  <r>
    <x v="271"/>
    <d v="2026-02-08T00:00:00"/>
    <s v="CUST0151"/>
    <x v="3"/>
    <x v="2"/>
    <n v="5137.25"/>
    <x v="1"/>
    <x v="5"/>
    <s v="Hyderabad"/>
    <s v="Merchant"/>
    <s v="iOS"/>
  </r>
  <r>
    <x v="272"/>
    <d v="2026-04-01T00:00:00"/>
    <s v="CUST0084"/>
    <x v="0"/>
    <x v="1"/>
    <n v="372.19"/>
    <x v="0"/>
    <x v="0"/>
    <s v="Ahmedabad"/>
    <s v="Individual"/>
    <s v="Android"/>
  </r>
  <r>
    <x v="273"/>
    <d v="2026-09-27T00:00:00"/>
    <s v="CUST0028"/>
    <x v="2"/>
    <x v="2"/>
    <n v="411.19"/>
    <x v="0"/>
    <x v="0"/>
    <s v="Bengaluru"/>
    <s v="Merchant"/>
    <s v="Web"/>
  </r>
  <r>
    <x v="274"/>
    <d v="2026-06-22T00:00:00"/>
    <s v="CUST0209"/>
    <x v="3"/>
    <x v="1"/>
    <n v="2336.88"/>
    <x v="0"/>
    <x v="0"/>
    <s v="Pune"/>
    <s v="Individual"/>
    <s v="Android"/>
  </r>
  <r>
    <x v="275"/>
    <d v="2026-09-22T00:00:00"/>
    <s v="CUST0078"/>
    <x v="3"/>
    <x v="1"/>
    <n v="808.36"/>
    <x v="0"/>
    <x v="0"/>
    <s v="Mumbai"/>
    <s v="Small Business"/>
    <s v="Android"/>
  </r>
  <r>
    <x v="276"/>
    <d v="2026-08-10T00:00:00"/>
    <s v="CUST0183"/>
    <x v="4"/>
    <x v="2"/>
    <n v="733.88"/>
    <x v="2"/>
    <x v="0"/>
    <s v="Mumbai"/>
    <s v="Individual"/>
    <s v="Android"/>
  </r>
  <r>
    <x v="277"/>
    <d v="2026-01-16T00:00:00"/>
    <s v="CUST0050"/>
    <x v="2"/>
    <x v="1"/>
    <n v="1341.63"/>
    <x v="2"/>
    <x v="0"/>
    <s v="Ahmedabad"/>
    <s v="Individual"/>
    <s v="iOS"/>
  </r>
  <r>
    <x v="278"/>
    <d v="2026-09-12T00:00:00"/>
    <s v="CUST0035"/>
    <x v="3"/>
    <x v="1"/>
    <n v="478.49"/>
    <x v="0"/>
    <x v="0"/>
    <s v="Mumbai"/>
    <s v="Small Business"/>
    <s v="Android"/>
  </r>
  <r>
    <x v="279"/>
    <d v="2026-08-04T00:00:00"/>
    <s v="CUST0047"/>
    <x v="0"/>
    <x v="3"/>
    <n v="2163.85"/>
    <x v="0"/>
    <x v="0"/>
    <s v="Chennai"/>
    <s v="Individual"/>
    <s v="Android"/>
  </r>
  <r>
    <x v="280"/>
    <d v="2026-01-15T00:00:00"/>
    <s v="CUST0055"/>
    <x v="0"/>
    <x v="1"/>
    <n v="2331.88"/>
    <x v="0"/>
    <x v="0"/>
    <s v="Bengaluru"/>
    <s v="Individual"/>
    <s v="iOS"/>
  </r>
  <r>
    <x v="281"/>
    <d v="2026-01-28T00:00:00"/>
    <s v="CUST0091"/>
    <x v="3"/>
    <x v="1"/>
    <n v="1425.94"/>
    <x v="0"/>
    <x v="0"/>
    <s v="Hyderabad"/>
    <s v="Merchant"/>
    <s v="Android"/>
  </r>
  <r>
    <x v="282"/>
    <d v="2026-09-14T00:00:00"/>
    <s v="CUST0124"/>
    <x v="4"/>
    <x v="2"/>
    <n v="751.73"/>
    <x v="1"/>
    <x v="5"/>
    <s v="Mumbai"/>
    <s v="Individual"/>
    <s v="iOS"/>
  </r>
  <r>
    <x v="283"/>
    <d v="2026-04-03T00:00:00"/>
    <s v="CUST0177"/>
    <x v="1"/>
    <x v="1"/>
    <n v="375.59"/>
    <x v="0"/>
    <x v="0"/>
    <s v="Ahmedabad"/>
    <s v="Individual"/>
    <s v="Android"/>
  </r>
  <r>
    <x v="284"/>
    <d v="2026-05-21T00:00:00"/>
    <s v="CUST0177"/>
    <x v="1"/>
    <x v="1"/>
    <n v="2862.18"/>
    <x v="0"/>
    <x v="0"/>
    <s v="Kolkata"/>
    <s v="Individual"/>
    <s v="Android"/>
  </r>
  <r>
    <x v="285"/>
    <d v="2026-07-11T00:00:00"/>
    <s v="CUST0041"/>
    <x v="1"/>
    <x v="1"/>
    <n v="1314.11"/>
    <x v="0"/>
    <x v="0"/>
    <s v="Pune"/>
    <s v="Merchant"/>
    <s v="Android"/>
  </r>
  <r>
    <x v="286"/>
    <d v="2026-01-17T00:00:00"/>
    <s v="CUST0077"/>
    <x v="2"/>
    <x v="1"/>
    <n v="944.62"/>
    <x v="2"/>
    <x v="0"/>
    <s v="Chennai"/>
    <s v="Individual"/>
    <s v="iOS"/>
  </r>
  <r>
    <x v="287"/>
    <d v="2026-05-07T00:00:00"/>
    <s v="CUST0109"/>
    <x v="2"/>
    <x v="1"/>
    <n v="660.54"/>
    <x v="1"/>
    <x v="6"/>
    <s v="Ahmedabad"/>
    <s v="Individual"/>
    <s v="Android"/>
  </r>
  <r>
    <x v="288"/>
    <d v="2026-09-25T00:00:00"/>
    <s v="CUST0158"/>
    <x v="3"/>
    <x v="0"/>
    <n v="488.55"/>
    <x v="0"/>
    <x v="0"/>
    <s v="Delhi"/>
    <s v="Small Business"/>
    <s v="Web"/>
  </r>
  <r>
    <x v="289"/>
    <d v="2026-08-03T00:00:00"/>
    <s v="CUST0164"/>
    <x v="3"/>
    <x v="1"/>
    <n v="2596.69"/>
    <x v="0"/>
    <x v="0"/>
    <s v="Delhi"/>
    <s v="Individual"/>
    <s v="iOS"/>
  </r>
  <r>
    <x v="290"/>
    <d v="2026-03-23T00:00:00"/>
    <s v="CUST0002"/>
    <x v="2"/>
    <x v="1"/>
    <n v="1387.31"/>
    <x v="0"/>
    <x v="0"/>
    <s v="Mumbai"/>
    <s v="Individual"/>
    <s v="Android"/>
  </r>
  <r>
    <x v="291"/>
    <d v="2026-04-15T00:00:00"/>
    <s v="CUST0201"/>
    <x v="1"/>
    <x v="4"/>
    <n v="649.44000000000005"/>
    <x v="0"/>
    <x v="0"/>
    <s v="Bengaluru"/>
    <s v="Individual"/>
    <s v="Android"/>
  </r>
  <r>
    <x v="292"/>
    <d v="2026-02-08T00:00:00"/>
    <s v="CUST0081"/>
    <x v="4"/>
    <x v="1"/>
    <n v="1597.56"/>
    <x v="0"/>
    <x v="0"/>
    <s v="Hyderabad"/>
    <s v="Individual"/>
    <s v="Android"/>
  </r>
  <r>
    <x v="293"/>
    <d v="2026-09-25T00:00:00"/>
    <s v="CUST0049"/>
    <x v="2"/>
    <x v="1"/>
    <n v="1934.35"/>
    <x v="0"/>
    <x v="0"/>
    <s v="Chennai"/>
    <s v="Individual"/>
    <s v="Android"/>
  </r>
  <r>
    <x v="294"/>
    <d v="2026-05-07T00:00:00"/>
    <s v="CUST0119"/>
    <x v="3"/>
    <x v="4"/>
    <n v="3100.62"/>
    <x v="0"/>
    <x v="0"/>
    <s v="Hyderabad"/>
    <s v="Small Business"/>
    <s v="Android"/>
  </r>
  <r>
    <x v="295"/>
    <d v="2026-03-14T00:00:00"/>
    <s v="CUST0156"/>
    <x v="4"/>
    <x v="1"/>
    <n v="626.69000000000005"/>
    <x v="0"/>
    <x v="0"/>
    <s v="Pune"/>
    <s v="Individual"/>
    <s v="iOS"/>
  </r>
  <r>
    <x v="296"/>
    <d v="2026-06-21T00:00:00"/>
    <s v="CUST0167"/>
    <x v="4"/>
    <x v="1"/>
    <n v="1085.01"/>
    <x v="0"/>
    <x v="0"/>
    <s v="Bengaluru"/>
    <s v="Individual"/>
    <s v="iOS"/>
  </r>
  <r>
    <x v="297"/>
    <d v="2026-06-05T00:00:00"/>
    <s v="CUST0157"/>
    <x v="3"/>
    <x v="1"/>
    <n v="2204.34"/>
    <x v="0"/>
    <x v="0"/>
    <s v="Hyderabad"/>
    <s v="Merchant"/>
    <s v="Android"/>
  </r>
  <r>
    <x v="298"/>
    <d v="2026-07-21T00:00:00"/>
    <s v="CUST0136"/>
    <x v="1"/>
    <x v="1"/>
    <n v="3206.09"/>
    <x v="0"/>
    <x v="0"/>
    <s v="Pune"/>
    <s v="Individual"/>
    <s v="Android"/>
  </r>
  <r>
    <x v="299"/>
    <d v="2026-06-25T00:00:00"/>
    <s v="CUST0069"/>
    <x v="3"/>
    <x v="1"/>
    <n v="3418.1"/>
    <x v="0"/>
    <x v="0"/>
    <s v="Pune"/>
    <s v="Individual"/>
    <s v="iOS"/>
  </r>
  <r>
    <x v="300"/>
    <d v="2026-03-08T00:00:00"/>
    <s v="CUST0125"/>
    <x v="1"/>
    <x v="1"/>
    <n v="1111.52"/>
    <x v="0"/>
    <x v="0"/>
    <s v="Ahmedabad"/>
    <s v="Individual"/>
    <s v="Android"/>
  </r>
  <r>
    <x v="301"/>
    <d v="2026-09-02T00:00:00"/>
    <s v="CUST0087"/>
    <x v="0"/>
    <x v="1"/>
    <n v="1631.12"/>
    <x v="0"/>
    <x v="0"/>
    <s v="Delhi"/>
    <s v="Individual"/>
    <s v="Web"/>
  </r>
  <r>
    <x v="302"/>
    <d v="2026-05-14T00:00:00"/>
    <s v="CUST0240"/>
    <x v="0"/>
    <x v="3"/>
    <n v="2892.63"/>
    <x v="0"/>
    <x v="0"/>
    <s v="Bengaluru"/>
    <s v="Merchant"/>
    <s v="Android"/>
  </r>
  <r>
    <x v="303"/>
    <d v="2026-03-09T00:00:00"/>
    <s v="CUST0087"/>
    <x v="2"/>
    <x v="3"/>
    <n v="1583.37"/>
    <x v="0"/>
    <x v="0"/>
    <s v="Mumbai"/>
    <s v="Individual"/>
    <s v="Android"/>
  </r>
  <r>
    <x v="304"/>
    <d v="2026-02-11T00:00:00"/>
    <s v="CUST0068"/>
    <x v="0"/>
    <x v="1"/>
    <n v="1802.98"/>
    <x v="0"/>
    <x v="0"/>
    <s v="Pune"/>
    <s v="Small Business"/>
    <s v="Android"/>
  </r>
  <r>
    <x v="305"/>
    <d v="2026-04-02T00:00:00"/>
    <s v="CUST0017"/>
    <x v="0"/>
    <x v="4"/>
    <n v="2268"/>
    <x v="0"/>
    <x v="0"/>
    <s v="Bengaluru"/>
    <s v="Individual"/>
    <s v="Web"/>
  </r>
  <r>
    <x v="306"/>
    <d v="2026-04-09T00:00:00"/>
    <s v="CUST0145"/>
    <x v="4"/>
    <x v="4"/>
    <n v="1493.64"/>
    <x v="0"/>
    <x v="0"/>
    <s v="Bengaluru"/>
    <s v="Individual"/>
    <s v="Android"/>
  </r>
  <r>
    <x v="307"/>
    <d v="2026-04-11T00:00:00"/>
    <s v="CUST0173"/>
    <x v="1"/>
    <x v="1"/>
    <n v="2355.89"/>
    <x v="0"/>
    <x v="0"/>
    <s v="Chennai"/>
    <s v="Merchant"/>
    <s v="Web"/>
  </r>
  <r>
    <x v="308"/>
    <d v="2026-02-16T00:00:00"/>
    <s v="CUST0147"/>
    <x v="3"/>
    <x v="0"/>
    <n v="914.84"/>
    <x v="0"/>
    <x v="0"/>
    <s v="Mumbai"/>
    <s v="Merchant"/>
    <s v="Web"/>
  </r>
  <r>
    <x v="309"/>
    <d v="2026-06-03T00:00:00"/>
    <s v="CUST0102"/>
    <x v="3"/>
    <x v="3"/>
    <n v="1480.55"/>
    <x v="0"/>
    <x v="0"/>
    <s v="Kolkata"/>
    <s v="Merchant"/>
    <s v="iOS"/>
  </r>
  <r>
    <x v="310"/>
    <d v="2026-03-16T00:00:00"/>
    <s v="CUST0219"/>
    <x v="1"/>
    <x v="1"/>
    <n v="1938.98"/>
    <x v="1"/>
    <x v="2"/>
    <s v="Ahmedabad"/>
    <s v="Individual"/>
    <s v="Android"/>
  </r>
  <r>
    <x v="311"/>
    <d v="2026-03-23T00:00:00"/>
    <s v="CUST0116"/>
    <x v="3"/>
    <x v="1"/>
    <n v="696.54"/>
    <x v="0"/>
    <x v="0"/>
    <s v="Chennai"/>
    <s v="Merchant"/>
    <s v="Android"/>
  </r>
  <r>
    <x v="312"/>
    <d v="2026-08-13T00:00:00"/>
    <s v="CUST0171"/>
    <x v="0"/>
    <x v="1"/>
    <n v="1084.24"/>
    <x v="1"/>
    <x v="2"/>
    <s v="Chennai"/>
    <s v="Small Business"/>
    <s v="iOS"/>
  </r>
  <r>
    <x v="313"/>
    <d v="2026-02-23T00:00:00"/>
    <s v="CUST0030"/>
    <x v="0"/>
    <x v="1"/>
    <n v="2547.1999999999998"/>
    <x v="0"/>
    <x v="0"/>
    <s v="Ahmedabad"/>
    <s v="Small Business"/>
    <s v="Android"/>
  </r>
  <r>
    <x v="314"/>
    <d v="2026-02-26T00:00:00"/>
    <s v="CUST0127"/>
    <x v="0"/>
    <x v="4"/>
    <n v="1093.6600000000001"/>
    <x v="0"/>
    <x v="0"/>
    <s v="Hyderabad"/>
    <s v="Small Business"/>
    <s v="iOS"/>
  </r>
  <r>
    <x v="315"/>
    <d v="2026-09-14T00:00:00"/>
    <s v="CUST0128"/>
    <x v="4"/>
    <x v="2"/>
    <n v="918.48"/>
    <x v="0"/>
    <x v="0"/>
    <s v="Chennai"/>
    <s v="Individual"/>
    <s v="Android"/>
  </r>
  <r>
    <x v="316"/>
    <d v="2026-09-17T00:00:00"/>
    <s v="CUST0061"/>
    <x v="1"/>
    <x v="1"/>
    <n v="723.21"/>
    <x v="0"/>
    <x v="0"/>
    <s v="Pune"/>
    <s v="Small Business"/>
    <s v="Web"/>
  </r>
  <r>
    <x v="317"/>
    <d v="2026-03-24T00:00:00"/>
    <s v="CUST0102"/>
    <x v="4"/>
    <x v="1"/>
    <n v="1076.73"/>
    <x v="0"/>
    <x v="0"/>
    <s v="Ahmedabad"/>
    <s v="Individual"/>
    <s v="Web"/>
  </r>
  <r>
    <x v="318"/>
    <d v="2026-07-07T00:00:00"/>
    <s v="CUST0055"/>
    <x v="3"/>
    <x v="4"/>
    <n v="1678.45"/>
    <x v="1"/>
    <x v="2"/>
    <s v="Delhi"/>
    <s v="Individual"/>
    <s v="Web"/>
  </r>
  <r>
    <x v="319"/>
    <d v="2026-01-27T00:00:00"/>
    <s v="CUST0021"/>
    <x v="0"/>
    <x v="1"/>
    <n v="680.92"/>
    <x v="2"/>
    <x v="0"/>
    <s v="Chennai"/>
    <s v="Individual"/>
    <s v="iOS"/>
  </r>
  <r>
    <x v="320"/>
    <d v="2026-02-22T00:00:00"/>
    <s v="CUST0114"/>
    <x v="4"/>
    <x v="1"/>
    <n v="3644.61"/>
    <x v="0"/>
    <x v="0"/>
    <s v="Delhi"/>
    <s v="Small Business"/>
    <s v="Android"/>
  </r>
  <r>
    <x v="321"/>
    <d v="2026-01-14T00:00:00"/>
    <s v="CUST0205"/>
    <x v="3"/>
    <x v="1"/>
    <n v="838.11"/>
    <x v="0"/>
    <x v="0"/>
    <s v="Hyderabad"/>
    <s v="Small Business"/>
    <s v="Android"/>
  </r>
  <r>
    <x v="322"/>
    <d v="2026-02-28T00:00:00"/>
    <s v="CUST0049"/>
    <x v="4"/>
    <x v="1"/>
    <n v="689.51"/>
    <x v="0"/>
    <x v="0"/>
    <s v="Delhi"/>
    <s v="Small Business"/>
    <s v="iOS"/>
  </r>
  <r>
    <x v="323"/>
    <d v="2026-03-20T00:00:00"/>
    <s v="CUST0209"/>
    <x v="2"/>
    <x v="1"/>
    <n v="2339.08"/>
    <x v="0"/>
    <x v="0"/>
    <s v="Delhi"/>
    <s v="Small Business"/>
    <s v="iOS"/>
  </r>
  <r>
    <x v="324"/>
    <d v="2026-03-29T00:00:00"/>
    <s v="CUST0172"/>
    <x v="1"/>
    <x v="1"/>
    <n v="2228.09"/>
    <x v="0"/>
    <x v="0"/>
    <s v="Mumbai"/>
    <s v="Individual"/>
    <s v="Android"/>
  </r>
  <r>
    <x v="325"/>
    <d v="2026-04-10T00:00:00"/>
    <s v="CUST0165"/>
    <x v="1"/>
    <x v="2"/>
    <n v="626.24"/>
    <x v="1"/>
    <x v="5"/>
    <s v="Hyderabad"/>
    <s v="Individual"/>
    <s v="Android"/>
  </r>
  <r>
    <x v="326"/>
    <d v="2026-07-05T00:00:00"/>
    <s v="CUST0235"/>
    <x v="2"/>
    <x v="3"/>
    <n v="1272.6300000000001"/>
    <x v="0"/>
    <x v="0"/>
    <s v="Ahmedabad"/>
    <s v="Small Business"/>
    <s v="Android"/>
  </r>
  <r>
    <x v="327"/>
    <d v="2026-01-13T00:00:00"/>
    <s v="CUST0021"/>
    <x v="3"/>
    <x v="1"/>
    <n v="791.49"/>
    <x v="0"/>
    <x v="0"/>
    <s v="Bengaluru"/>
    <s v="Merchant"/>
    <s v="iOS"/>
  </r>
  <r>
    <x v="328"/>
    <d v="2026-07-30T00:00:00"/>
    <s v="CUST0206"/>
    <x v="3"/>
    <x v="1"/>
    <n v="863.93"/>
    <x v="0"/>
    <x v="0"/>
    <s v="Ahmedabad"/>
    <s v="Individual"/>
    <s v="Android"/>
  </r>
  <r>
    <x v="329"/>
    <d v="2026-08-15T00:00:00"/>
    <s v="CUST0031"/>
    <x v="3"/>
    <x v="1"/>
    <n v="1332.63"/>
    <x v="0"/>
    <x v="0"/>
    <s v="Chennai"/>
    <s v="Small Business"/>
    <s v="Android"/>
  </r>
  <r>
    <x v="330"/>
    <d v="2026-01-16T00:00:00"/>
    <s v="CUST0216"/>
    <x v="2"/>
    <x v="0"/>
    <n v="2417.3200000000002"/>
    <x v="0"/>
    <x v="0"/>
    <s v="Kolkata"/>
    <s v="Small Business"/>
    <s v="iOS"/>
  </r>
  <r>
    <x v="331"/>
    <d v="2026-09-21T00:00:00"/>
    <s v="CUST0232"/>
    <x v="4"/>
    <x v="4"/>
    <n v="940.16"/>
    <x v="0"/>
    <x v="0"/>
    <s v="Bengaluru"/>
    <s v="Individual"/>
    <s v="iOS"/>
  </r>
  <r>
    <x v="332"/>
    <d v="2026-03-06T00:00:00"/>
    <s v="CUST0053"/>
    <x v="2"/>
    <x v="1"/>
    <n v="937.87"/>
    <x v="0"/>
    <x v="0"/>
    <s v="Mumbai"/>
    <s v="Individual"/>
    <s v="Android"/>
  </r>
  <r>
    <x v="333"/>
    <d v="2026-03-15T00:00:00"/>
    <s v="CUST0138"/>
    <x v="0"/>
    <x v="1"/>
    <n v="1886.48"/>
    <x v="0"/>
    <x v="0"/>
    <s v="Pune"/>
    <s v="Individual"/>
    <s v="Android"/>
  </r>
  <r>
    <x v="334"/>
    <d v="2026-06-12T00:00:00"/>
    <s v="CUST0090"/>
    <x v="3"/>
    <x v="1"/>
    <n v="175.62"/>
    <x v="0"/>
    <x v="0"/>
    <s v="Ahmedabad"/>
    <s v="Small Business"/>
    <s v="Web"/>
  </r>
  <r>
    <x v="335"/>
    <d v="2026-08-18T00:00:00"/>
    <s v="CUST0027"/>
    <x v="3"/>
    <x v="0"/>
    <n v="1039.82"/>
    <x v="2"/>
    <x v="0"/>
    <s v="Ahmedabad"/>
    <s v="Small Business"/>
    <s v="Android"/>
  </r>
  <r>
    <x v="336"/>
    <d v="2026-06-30T00:00:00"/>
    <s v="CUST0055"/>
    <x v="0"/>
    <x v="1"/>
    <n v="1039.29"/>
    <x v="0"/>
    <x v="0"/>
    <s v="Pune"/>
    <s v="Individual"/>
    <s v="Android"/>
  </r>
  <r>
    <x v="337"/>
    <d v="2026-01-07T00:00:00"/>
    <s v="CUST0228"/>
    <x v="3"/>
    <x v="1"/>
    <n v="714.34"/>
    <x v="0"/>
    <x v="0"/>
    <s v="Ahmedabad"/>
    <s v="Individual"/>
    <s v="iOS"/>
  </r>
  <r>
    <x v="338"/>
    <d v="2026-04-21T00:00:00"/>
    <s v="CUST0195"/>
    <x v="2"/>
    <x v="2"/>
    <n v="1772.2"/>
    <x v="0"/>
    <x v="0"/>
    <s v="Ahmedabad"/>
    <s v="Individual"/>
    <s v="Android"/>
  </r>
  <r>
    <x v="339"/>
    <d v="2026-06-06T00:00:00"/>
    <s v="CUST0090"/>
    <x v="3"/>
    <x v="1"/>
    <n v="5155.29"/>
    <x v="0"/>
    <x v="0"/>
    <s v="Hyderabad"/>
    <s v="Small Business"/>
    <s v="Android"/>
  </r>
  <r>
    <x v="340"/>
    <d v="2026-04-14T00:00:00"/>
    <s v="CUST0106"/>
    <x v="3"/>
    <x v="3"/>
    <n v="1218.95"/>
    <x v="0"/>
    <x v="0"/>
    <s v="Pune"/>
    <s v="Individual"/>
    <s v="Android"/>
  </r>
  <r>
    <x v="341"/>
    <d v="2026-01-26T00:00:00"/>
    <s v="CUST0068"/>
    <x v="1"/>
    <x v="2"/>
    <n v="1426.68"/>
    <x v="0"/>
    <x v="0"/>
    <s v="Hyderabad"/>
    <s v="Individual"/>
    <s v="Web"/>
  </r>
  <r>
    <x v="342"/>
    <d v="2026-02-18T00:00:00"/>
    <s v="CUST0114"/>
    <x v="2"/>
    <x v="0"/>
    <n v="1071.18"/>
    <x v="0"/>
    <x v="0"/>
    <s v="Chennai"/>
    <s v="Individual"/>
    <s v="iOS"/>
  </r>
  <r>
    <x v="343"/>
    <d v="2026-01-05T00:00:00"/>
    <s v="CUST0226"/>
    <x v="2"/>
    <x v="1"/>
    <n v="1639.95"/>
    <x v="0"/>
    <x v="0"/>
    <s v="Bengaluru"/>
    <s v="Individual"/>
    <s v="Android"/>
  </r>
  <r>
    <x v="344"/>
    <d v="2026-01-15T00:00:00"/>
    <s v="CUST0222"/>
    <x v="4"/>
    <x v="3"/>
    <n v="1688.83"/>
    <x v="0"/>
    <x v="0"/>
    <s v="Pune"/>
    <s v="Individual"/>
    <s v="Android"/>
  </r>
  <r>
    <x v="345"/>
    <d v="2026-01-06T00:00:00"/>
    <s v="CUST0077"/>
    <x v="3"/>
    <x v="1"/>
    <n v="1074.04"/>
    <x v="2"/>
    <x v="0"/>
    <s v="Hyderabad"/>
    <s v="Individual"/>
    <s v="Web"/>
  </r>
  <r>
    <x v="346"/>
    <d v="2026-02-19T00:00:00"/>
    <s v="CUST0249"/>
    <x v="3"/>
    <x v="3"/>
    <n v="869.7"/>
    <x v="1"/>
    <x v="2"/>
    <s v="Bengaluru"/>
    <s v="Individual"/>
    <s v="Android"/>
  </r>
  <r>
    <x v="347"/>
    <d v="2026-05-19T00:00:00"/>
    <s v="CUST0134"/>
    <x v="4"/>
    <x v="1"/>
    <n v="1865.89"/>
    <x v="0"/>
    <x v="0"/>
    <s v="Bengaluru"/>
    <s v="Individual"/>
    <s v="Android"/>
  </r>
  <r>
    <x v="348"/>
    <d v="2026-09-17T00:00:00"/>
    <s v="CUST0106"/>
    <x v="2"/>
    <x v="1"/>
    <n v="1792.62"/>
    <x v="1"/>
    <x v="6"/>
    <s v="Bengaluru"/>
    <s v="Individual"/>
    <s v="Web"/>
  </r>
  <r>
    <x v="349"/>
    <d v="2026-01-08T00:00:00"/>
    <s v="CUST0084"/>
    <x v="3"/>
    <x v="0"/>
    <n v="2120.9499999999998"/>
    <x v="0"/>
    <x v="0"/>
    <s v="Chennai"/>
    <s v="Individual"/>
    <s v="Android"/>
  </r>
  <r>
    <x v="350"/>
    <d v="2026-03-29T00:00:00"/>
    <s v="CUST0171"/>
    <x v="0"/>
    <x v="4"/>
    <n v="1829.53"/>
    <x v="0"/>
    <x v="0"/>
    <s v="Delhi"/>
    <s v="Small Business"/>
    <s v="Android"/>
  </r>
  <r>
    <x v="351"/>
    <d v="2026-08-04T00:00:00"/>
    <s v="CUST0121"/>
    <x v="4"/>
    <x v="2"/>
    <n v="1640.94"/>
    <x v="0"/>
    <x v="0"/>
    <s v="Chennai"/>
    <s v="Small Business"/>
    <s v="Android"/>
  </r>
  <r>
    <x v="352"/>
    <d v="2026-05-21T00:00:00"/>
    <s v="CUST0103"/>
    <x v="2"/>
    <x v="1"/>
    <n v="1193.54"/>
    <x v="1"/>
    <x v="3"/>
    <s v="Bengaluru"/>
    <s v="Individual"/>
    <s v="iOS"/>
  </r>
  <r>
    <x v="353"/>
    <d v="2026-04-01T00:00:00"/>
    <s v="CUST0082"/>
    <x v="2"/>
    <x v="1"/>
    <n v="1903.31"/>
    <x v="0"/>
    <x v="0"/>
    <s v="Delhi"/>
    <s v="Merchant"/>
    <s v="Android"/>
  </r>
  <r>
    <x v="354"/>
    <d v="2026-04-24T00:00:00"/>
    <s v="CUST0068"/>
    <x v="2"/>
    <x v="1"/>
    <n v="1729.26"/>
    <x v="0"/>
    <x v="0"/>
    <s v="Mumbai"/>
    <s v="Individual"/>
    <s v="iOS"/>
  </r>
  <r>
    <x v="355"/>
    <d v="2026-07-16T00:00:00"/>
    <s v="CUST0188"/>
    <x v="1"/>
    <x v="0"/>
    <n v="1964.95"/>
    <x v="0"/>
    <x v="0"/>
    <s v="Hyderabad"/>
    <s v="Individual"/>
    <s v="iOS"/>
  </r>
  <r>
    <x v="356"/>
    <d v="2026-07-18T00:00:00"/>
    <s v="CUST0041"/>
    <x v="4"/>
    <x v="0"/>
    <n v="1041.31"/>
    <x v="0"/>
    <x v="0"/>
    <s v="Kolkata"/>
    <s v="Individual"/>
    <s v="Android"/>
  </r>
  <r>
    <x v="357"/>
    <d v="2026-05-27T00:00:00"/>
    <s v="CUST0129"/>
    <x v="3"/>
    <x v="4"/>
    <n v="2395.42"/>
    <x v="1"/>
    <x v="6"/>
    <s v="Pune"/>
    <s v="Individual"/>
    <s v="Android"/>
  </r>
  <r>
    <x v="358"/>
    <d v="2026-07-14T00:00:00"/>
    <s v="CUST0109"/>
    <x v="4"/>
    <x v="2"/>
    <n v="735.36"/>
    <x v="0"/>
    <x v="0"/>
    <s v="Mumbai"/>
    <s v="Individual"/>
    <s v="Android"/>
  </r>
  <r>
    <x v="359"/>
    <d v="2026-03-10T00:00:00"/>
    <s v="CUST0070"/>
    <x v="0"/>
    <x v="1"/>
    <n v="2981.29"/>
    <x v="0"/>
    <x v="0"/>
    <s v="Pune"/>
    <s v="Individual"/>
    <s v="iOS"/>
  </r>
  <r>
    <x v="360"/>
    <d v="2026-05-18T00:00:00"/>
    <s v="CUST0076"/>
    <x v="3"/>
    <x v="1"/>
    <n v="775.49"/>
    <x v="0"/>
    <x v="0"/>
    <s v="Bengaluru"/>
    <s v="Merchant"/>
    <s v="Android"/>
  </r>
  <r>
    <x v="361"/>
    <d v="2026-02-07T00:00:00"/>
    <s v="CUST0030"/>
    <x v="3"/>
    <x v="0"/>
    <n v="772.05"/>
    <x v="0"/>
    <x v="0"/>
    <s v="Chennai"/>
    <s v="Individual"/>
    <s v="iOS"/>
  </r>
  <r>
    <x v="362"/>
    <d v="2026-07-09T00:00:00"/>
    <s v="CUST0016"/>
    <x v="2"/>
    <x v="1"/>
    <n v="782.17"/>
    <x v="0"/>
    <x v="0"/>
    <s v="Pune"/>
    <s v="Individual"/>
    <s v="Web"/>
  </r>
  <r>
    <x v="363"/>
    <d v="2026-01-22T00:00:00"/>
    <s v="CUST0202"/>
    <x v="0"/>
    <x v="1"/>
    <n v="2081.2800000000002"/>
    <x v="0"/>
    <x v="0"/>
    <s v="Ahmedabad"/>
    <s v="Small Business"/>
    <s v="Android"/>
  </r>
  <r>
    <x v="364"/>
    <d v="2026-02-01T00:00:00"/>
    <s v="CUST0180"/>
    <x v="1"/>
    <x v="4"/>
    <n v="1720.39"/>
    <x v="0"/>
    <x v="0"/>
    <s v="Ahmedabad"/>
    <s v="Individual"/>
    <s v="Android"/>
  </r>
  <r>
    <x v="365"/>
    <d v="2026-04-21T00:00:00"/>
    <s v="CUST0036"/>
    <x v="0"/>
    <x v="0"/>
    <n v="782.93"/>
    <x v="0"/>
    <x v="0"/>
    <s v="Hyderabad"/>
    <s v="Individual"/>
    <s v="Android"/>
  </r>
  <r>
    <x v="366"/>
    <d v="2026-03-22T00:00:00"/>
    <s v="CUST0162"/>
    <x v="2"/>
    <x v="1"/>
    <n v="2701.42"/>
    <x v="1"/>
    <x v="3"/>
    <s v="Chennai"/>
    <s v="Small Business"/>
    <s v="iOS"/>
  </r>
  <r>
    <x v="367"/>
    <d v="2026-09-08T00:00:00"/>
    <s v="CUST0081"/>
    <x v="2"/>
    <x v="1"/>
    <n v="2531.9"/>
    <x v="0"/>
    <x v="0"/>
    <s v="Hyderabad"/>
    <s v="Individual"/>
    <s v="iOS"/>
  </r>
  <r>
    <x v="368"/>
    <d v="2026-03-04T00:00:00"/>
    <s v="CUST0128"/>
    <x v="2"/>
    <x v="1"/>
    <n v="2086.21"/>
    <x v="0"/>
    <x v="0"/>
    <s v="Mumbai"/>
    <s v="Individual"/>
    <s v="Android"/>
  </r>
  <r>
    <x v="369"/>
    <d v="2026-02-12T00:00:00"/>
    <s v="CUST0059"/>
    <x v="4"/>
    <x v="2"/>
    <n v="2824.05"/>
    <x v="0"/>
    <x v="0"/>
    <s v="Mumbai"/>
    <s v="Merchant"/>
    <s v="Android"/>
  </r>
  <r>
    <x v="370"/>
    <d v="2026-06-17T00:00:00"/>
    <s v="CUST0123"/>
    <x v="0"/>
    <x v="0"/>
    <n v="1206.3699999999999"/>
    <x v="0"/>
    <x v="0"/>
    <s v="Ahmedabad"/>
    <s v="Small Business"/>
    <s v="Android"/>
  </r>
  <r>
    <x v="371"/>
    <d v="2026-02-12T00:00:00"/>
    <s v="CUST0057"/>
    <x v="3"/>
    <x v="2"/>
    <n v="731.31"/>
    <x v="1"/>
    <x v="5"/>
    <s v="Chennai"/>
    <s v="Individual"/>
    <s v="Android"/>
  </r>
  <r>
    <x v="372"/>
    <d v="2026-01-07T00:00:00"/>
    <s v="CUST0113"/>
    <x v="1"/>
    <x v="2"/>
    <n v="1651.88"/>
    <x v="0"/>
    <x v="0"/>
    <s v="Bengaluru"/>
    <s v="Individual"/>
    <s v="iOS"/>
  </r>
  <r>
    <x v="373"/>
    <d v="2026-01-12T00:00:00"/>
    <s v="CUST0057"/>
    <x v="1"/>
    <x v="1"/>
    <n v="1045.95"/>
    <x v="0"/>
    <x v="0"/>
    <s v="Hyderabad"/>
    <s v="Individual"/>
    <s v="iOS"/>
  </r>
  <r>
    <x v="374"/>
    <d v="2026-03-10T00:00:00"/>
    <s v="CUST0084"/>
    <x v="0"/>
    <x v="4"/>
    <n v="802.9"/>
    <x v="1"/>
    <x v="6"/>
    <s v="Bengaluru"/>
    <s v="Individual"/>
    <s v="Android"/>
  </r>
  <r>
    <x v="375"/>
    <d v="2026-07-01T00:00:00"/>
    <s v="CUST0082"/>
    <x v="1"/>
    <x v="0"/>
    <n v="333.47"/>
    <x v="0"/>
    <x v="0"/>
    <s v="Ahmedabad"/>
    <s v="Small Business"/>
    <s v="Android"/>
  </r>
  <r>
    <x v="376"/>
    <d v="2026-07-21T00:00:00"/>
    <s v="CUST0212"/>
    <x v="4"/>
    <x v="1"/>
    <n v="1625.81"/>
    <x v="0"/>
    <x v="0"/>
    <s v="Hyderabad"/>
    <s v="Merchant"/>
    <s v="Android"/>
  </r>
  <r>
    <x v="377"/>
    <d v="2026-08-07T00:00:00"/>
    <s v="CUST0124"/>
    <x v="1"/>
    <x v="1"/>
    <n v="1162.5"/>
    <x v="0"/>
    <x v="0"/>
    <s v="Bengaluru"/>
    <s v="Individual"/>
    <s v="Android"/>
  </r>
  <r>
    <x v="378"/>
    <d v="2026-03-15T00:00:00"/>
    <s v="CUST0148"/>
    <x v="1"/>
    <x v="4"/>
    <n v="650.03"/>
    <x v="0"/>
    <x v="0"/>
    <s v="Hyderabad"/>
    <s v="Merchant"/>
    <s v="Android"/>
  </r>
  <r>
    <x v="379"/>
    <d v="2026-04-18T00:00:00"/>
    <s v="CUST0134"/>
    <x v="1"/>
    <x v="1"/>
    <n v="1663.76"/>
    <x v="0"/>
    <x v="0"/>
    <s v="Chennai"/>
    <s v="Individual"/>
    <s v="iOS"/>
  </r>
  <r>
    <x v="380"/>
    <d v="2026-07-26T00:00:00"/>
    <s v="CUST0083"/>
    <x v="2"/>
    <x v="4"/>
    <n v="346.81"/>
    <x v="1"/>
    <x v="3"/>
    <s v="Bengaluru"/>
    <s v="Individual"/>
    <s v="iOS"/>
  </r>
  <r>
    <x v="381"/>
    <d v="2026-06-03T00:00:00"/>
    <s v="CUST0248"/>
    <x v="0"/>
    <x v="1"/>
    <n v="5958.04"/>
    <x v="0"/>
    <x v="0"/>
    <s v="Chennai"/>
    <s v="Individual"/>
    <s v="Web"/>
  </r>
  <r>
    <x v="382"/>
    <d v="2026-04-08T00:00:00"/>
    <s v="CUST0164"/>
    <x v="0"/>
    <x v="4"/>
    <n v="822.63"/>
    <x v="1"/>
    <x v="1"/>
    <s v="Kolkata"/>
    <s v="Merchant"/>
    <s v="Android"/>
  </r>
  <r>
    <x v="383"/>
    <d v="2026-03-14T00:00:00"/>
    <s v="CUST0114"/>
    <x v="4"/>
    <x v="2"/>
    <n v="1079.0899999999999"/>
    <x v="0"/>
    <x v="0"/>
    <s v="Ahmedabad"/>
    <s v="Small Business"/>
    <s v="Web"/>
  </r>
  <r>
    <x v="384"/>
    <d v="2026-02-23T00:00:00"/>
    <s v="CUST0155"/>
    <x v="2"/>
    <x v="1"/>
    <n v="2071.6799999999998"/>
    <x v="0"/>
    <x v="0"/>
    <s v="Kolkata"/>
    <s v="Merchant"/>
    <s v="Web"/>
  </r>
  <r>
    <x v="385"/>
    <d v="2026-09-05T00:00:00"/>
    <s v="CUST0039"/>
    <x v="1"/>
    <x v="1"/>
    <n v="941.96"/>
    <x v="0"/>
    <x v="0"/>
    <s v="Mumbai"/>
    <s v="Small Business"/>
    <s v="iOS"/>
  </r>
  <r>
    <x v="386"/>
    <d v="2026-09-02T00:00:00"/>
    <s v="CUST0061"/>
    <x v="2"/>
    <x v="1"/>
    <n v="1570.99"/>
    <x v="1"/>
    <x v="5"/>
    <s v="Mumbai"/>
    <s v="Individual"/>
    <s v="Android"/>
  </r>
  <r>
    <x v="387"/>
    <d v="2026-06-10T00:00:00"/>
    <s v="CUST0019"/>
    <x v="4"/>
    <x v="4"/>
    <n v="1837.26"/>
    <x v="0"/>
    <x v="0"/>
    <s v="Pune"/>
    <s v="Merchant"/>
    <s v="Web"/>
  </r>
  <r>
    <x v="388"/>
    <d v="2026-06-13T00:00:00"/>
    <s v="CUST0179"/>
    <x v="4"/>
    <x v="1"/>
    <n v="1270.3399999999999"/>
    <x v="0"/>
    <x v="0"/>
    <s v="Pune"/>
    <s v="Small Business"/>
    <s v="iOS"/>
  </r>
  <r>
    <x v="389"/>
    <d v="2026-07-28T00:00:00"/>
    <s v="CUST0137"/>
    <x v="1"/>
    <x v="3"/>
    <n v="2094.54"/>
    <x v="1"/>
    <x v="6"/>
    <s v="Mumbai"/>
    <s v="Individual"/>
    <s v="Web"/>
  </r>
  <r>
    <x v="390"/>
    <d v="2026-02-25T00:00:00"/>
    <s v="CUST0107"/>
    <x v="1"/>
    <x v="2"/>
    <n v="875.49"/>
    <x v="0"/>
    <x v="0"/>
    <s v="Kolkata"/>
    <s v="Small Business"/>
    <s v="Android"/>
  </r>
  <r>
    <x v="391"/>
    <d v="2026-02-06T00:00:00"/>
    <s v="CUST0205"/>
    <x v="4"/>
    <x v="0"/>
    <n v="3334.37"/>
    <x v="0"/>
    <x v="0"/>
    <s v="Delhi"/>
    <s v="Individual"/>
    <s v="iOS"/>
  </r>
  <r>
    <x v="392"/>
    <d v="2026-09-17T00:00:00"/>
    <s v="CUST0242"/>
    <x v="3"/>
    <x v="1"/>
    <n v="344.34"/>
    <x v="0"/>
    <x v="0"/>
    <s v="Kolkata"/>
    <s v="Individual"/>
    <s v="iOS"/>
  </r>
  <r>
    <x v="393"/>
    <d v="2026-05-01T00:00:00"/>
    <s v="CUST0199"/>
    <x v="0"/>
    <x v="1"/>
    <n v="4063.03"/>
    <x v="1"/>
    <x v="1"/>
    <s v="Ahmedabad"/>
    <s v="Individual"/>
    <s v="iOS"/>
  </r>
  <r>
    <x v="394"/>
    <d v="2026-04-19T00:00:00"/>
    <s v="CUST0153"/>
    <x v="2"/>
    <x v="2"/>
    <n v="1025.96"/>
    <x v="0"/>
    <x v="0"/>
    <s v="Kolkata"/>
    <s v="Merchant"/>
    <s v="Android"/>
  </r>
  <r>
    <x v="395"/>
    <d v="2026-03-02T00:00:00"/>
    <s v="CUST0036"/>
    <x v="3"/>
    <x v="1"/>
    <n v="3105.77"/>
    <x v="1"/>
    <x v="6"/>
    <s v="Ahmedabad"/>
    <s v="Small Business"/>
    <s v="Android"/>
  </r>
  <r>
    <x v="396"/>
    <d v="2026-04-20T00:00:00"/>
    <s v="CUST0035"/>
    <x v="2"/>
    <x v="3"/>
    <n v="1279.8499999999999"/>
    <x v="0"/>
    <x v="0"/>
    <s v="Mumbai"/>
    <s v="Individual"/>
    <s v="Android"/>
  </r>
  <r>
    <x v="397"/>
    <d v="2026-02-08T00:00:00"/>
    <s v="CUST0158"/>
    <x v="0"/>
    <x v="1"/>
    <n v="227.15"/>
    <x v="0"/>
    <x v="0"/>
    <s v="Delhi"/>
    <s v="Merchant"/>
    <s v="Android"/>
  </r>
  <r>
    <x v="398"/>
    <d v="2026-08-02T00:00:00"/>
    <s v="CUST0085"/>
    <x v="3"/>
    <x v="1"/>
    <n v="911.1"/>
    <x v="0"/>
    <x v="0"/>
    <s v="Chennai"/>
    <s v="Individual"/>
    <s v="Android"/>
  </r>
  <r>
    <x v="399"/>
    <d v="2026-05-14T00:00:00"/>
    <s v="CUST0122"/>
    <x v="2"/>
    <x v="0"/>
    <n v="302.76"/>
    <x v="1"/>
    <x v="2"/>
    <s v="Pune"/>
    <s v="Individual"/>
    <s v="Android"/>
  </r>
  <r>
    <x v="400"/>
    <d v="2026-05-18T00:00:00"/>
    <s v="CUST0127"/>
    <x v="4"/>
    <x v="1"/>
    <n v="2777.31"/>
    <x v="0"/>
    <x v="0"/>
    <s v="Kolkata"/>
    <s v="Individual"/>
    <s v="Android"/>
  </r>
  <r>
    <x v="401"/>
    <d v="2026-05-27T00:00:00"/>
    <s v="CUST0190"/>
    <x v="3"/>
    <x v="1"/>
    <n v="4748.1899999999996"/>
    <x v="0"/>
    <x v="0"/>
    <s v="Ahmedabad"/>
    <s v="Individual"/>
    <s v="Android"/>
  </r>
  <r>
    <x v="402"/>
    <d v="2026-01-19T00:00:00"/>
    <s v="CUST0093"/>
    <x v="0"/>
    <x v="0"/>
    <n v="635.80999999999995"/>
    <x v="0"/>
    <x v="0"/>
    <s v="Delhi"/>
    <s v="Individual"/>
    <s v="Android"/>
  </r>
  <r>
    <x v="403"/>
    <d v="2026-08-27T00:00:00"/>
    <s v="CUST0026"/>
    <x v="2"/>
    <x v="1"/>
    <n v="4358.84"/>
    <x v="0"/>
    <x v="0"/>
    <s v="Hyderabad"/>
    <s v="Individual"/>
    <s v="Android"/>
  </r>
  <r>
    <x v="404"/>
    <d v="2026-01-17T00:00:00"/>
    <s v="CUST0171"/>
    <x v="4"/>
    <x v="2"/>
    <n v="841.71"/>
    <x v="0"/>
    <x v="0"/>
    <s v="Mumbai"/>
    <s v="Merchant"/>
    <s v="iOS"/>
  </r>
  <r>
    <x v="405"/>
    <d v="2026-01-25T00:00:00"/>
    <s v="CUST0144"/>
    <x v="1"/>
    <x v="4"/>
    <n v="457.95"/>
    <x v="0"/>
    <x v="0"/>
    <s v="Chennai"/>
    <s v="Merchant"/>
    <s v="Android"/>
  </r>
  <r>
    <x v="406"/>
    <d v="2026-01-25T00:00:00"/>
    <s v="CUST0118"/>
    <x v="0"/>
    <x v="0"/>
    <n v="2384.25"/>
    <x v="0"/>
    <x v="0"/>
    <s v="Mumbai"/>
    <s v="Merchant"/>
    <s v="Android"/>
  </r>
  <r>
    <x v="407"/>
    <d v="2026-08-21T00:00:00"/>
    <s v="CUST0139"/>
    <x v="0"/>
    <x v="1"/>
    <n v="2684.13"/>
    <x v="0"/>
    <x v="0"/>
    <s v="Bengaluru"/>
    <s v="Small Business"/>
    <s v="Android"/>
  </r>
  <r>
    <x v="408"/>
    <d v="2026-06-30T00:00:00"/>
    <s v="CUST0104"/>
    <x v="4"/>
    <x v="1"/>
    <n v="4483.97"/>
    <x v="0"/>
    <x v="0"/>
    <s v="Ahmedabad"/>
    <s v="Individual"/>
    <s v="Android"/>
  </r>
  <r>
    <x v="409"/>
    <d v="2026-08-08T00:00:00"/>
    <s v="CUST0020"/>
    <x v="2"/>
    <x v="1"/>
    <n v="536.41999999999996"/>
    <x v="2"/>
    <x v="0"/>
    <s v="Hyderabad"/>
    <s v="Individual"/>
    <s v="Android"/>
  </r>
  <r>
    <x v="410"/>
    <d v="2026-08-09T00:00:00"/>
    <s v="CUST0122"/>
    <x v="1"/>
    <x v="1"/>
    <n v="293.73"/>
    <x v="0"/>
    <x v="0"/>
    <s v="Chennai"/>
    <s v="Individual"/>
    <s v="Android"/>
  </r>
  <r>
    <x v="411"/>
    <d v="2026-04-17T00:00:00"/>
    <s v="CUST0124"/>
    <x v="1"/>
    <x v="3"/>
    <n v="1910"/>
    <x v="0"/>
    <x v="0"/>
    <s v="Delhi"/>
    <s v="Small Business"/>
    <s v="Android"/>
  </r>
  <r>
    <x v="412"/>
    <d v="2026-07-26T00:00:00"/>
    <s v="CUST0244"/>
    <x v="4"/>
    <x v="1"/>
    <n v="1297.29"/>
    <x v="0"/>
    <x v="0"/>
    <s v="Hyderabad"/>
    <s v="Individual"/>
    <s v="Android"/>
  </r>
  <r>
    <x v="413"/>
    <d v="2026-07-28T00:00:00"/>
    <s v="CUST0127"/>
    <x v="1"/>
    <x v="1"/>
    <n v="777.27"/>
    <x v="0"/>
    <x v="0"/>
    <s v="Ahmedabad"/>
    <s v="Small Business"/>
    <s v="Android"/>
  </r>
  <r>
    <x v="414"/>
    <d v="2026-08-08T00:00:00"/>
    <s v="CUST0214"/>
    <x v="1"/>
    <x v="1"/>
    <n v="526.19000000000005"/>
    <x v="0"/>
    <x v="0"/>
    <s v="Hyderabad"/>
    <s v="Small Business"/>
    <s v="Web"/>
  </r>
  <r>
    <x v="415"/>
    <d v="2026-03-03T00:00:00"/>
    <s v="CUST0059"/>
    <x v="4"/>
    <x v="1"/>
    <n v="921.69"/>
    <x v="0"/>
    <x v="0"/>
    <s v="Hyderabad"/>
    <s v="Small Business"/>
    <s v="Android"/>
  </r>
  <r>
    <x v="416"/>
    <d v="2026-02-09T00:00:00"/>
    <s v="CUST0178"/>
    <x v="4"/>
    <x v="2"/>
    <n v="2605.87"/>
    <x v="0"/>
    <x v="0"/>
    <s v="Kolkata"/>
    <s v="Small Business"/>
    <s v="Android"/>
  </r>
  <r>
    <x v="417"/>
    <d v="2026-05-26T00:00:00"/>
    <s v="CUST0195"/>
    <x v="2"/>
    <x v="3"/>
    <n v="1486.36"/>
    <x v="0"/>
    <x v="0"/>
    <s v="Ahmedabad"/>
    <s v="Individual"/>
    <s v="Android"/>
  </r>
  <r>
    <x v="418"/>
    <d v="2026-08-10T00:00:00"/>
    <s v="CUST0074"/>
    <x v="0"/>
    <x v="2"/>
    <n v="1352.96"/>
    <x v="0"/>
    <x v="0"/>
    <s v="Delhi"/>
    <s v="Individual"/>
    <s v="iOS"/>
  </r>
  <r>
    <x v="419"/>
    <d v="2026-07-26T00:00:00"/>
    <s v="CUST0001"/>
    <x v="3"/>
    <x v="0"/>
    <n v="380.56"/>
    <x v="0"/>
    <x v="0"/>
    <s v="Delhi"/>
    <s v="Small Business"/>
    <s v="Android"/>
  </r>
  <r>
    <x v="420"/>
    <d v="2026-06-14T00:00:00"/>
    <s v="CUST0157"/>
    <x v="4"/>
    <x v="4"/>
    <n v="935.05"/>
    <x v="1"/>
    <x v="7"/>
    <s v="Ahmedabad"/>
    <s v="Individual"/>
    <s v="Web"/>
  </r>
  <r>
    <x v="421"/>
    <d v="2026-04-14T00:00:00"/>
    <s v="CUST0038"/>
    <x v="4"/>
    <x v="4"/>
    <n v="1734.95"/>
    <x v="0"/>
    <x v="0"/>
    <s v="Delhi"/>
    <s v="Small Business"/>
    <s v="Web"/>
  </r>
  <r>
    <x v="422"/>
    <d v="2026-06-25T00:00:00"/>
    <s v="CUST0182"/>
    <x v="0"/>
    <x v="1"/>
    <n v="7533.93"/>
    <x v="0"/>
    <x v="0"/>
    <s v="Mumbai"/>
    <s v="Merchant"/>
    <s v="Web"/>
  </r>
  <r>
    <x v="423"/>
    <d v="2026-03-27T00:00:00"/>
    <s v="CUST0235"/>
    <x v="4"/>
    <x v="1"/>
    <n v="496.63"/>
    <x v="0"/>
    <x v="0"/>
    <s v="Mumbai"/>
    <s v="Small Business"/>
    <s v="Android"/>
  </r>
  <r>
    <x v="424"/>
    <d v="2026-01-03T00:00:00"/>
    <s v="CUST0074"/>
    <x v="2"/>
    <x v="4"/>
    <n v="2477.85"/>
    <x v="0"/>
    <x v="0"/>
    <s v="Kolkata"/>
    <s v="Merchant"/>
    <s v="iOS"/>
  </r>
  <r>
    <x v="425"/>
    <d v="2026-03-02T00:00:00"/>
    <s v="CUST0028"/>
    <x v="3"/>
    <x v="1"/>
    <n v="1537.64"/>
    <x v="1"/>
    <x v="7"/>
    <s v="Ahmedabad"/>
    <s v="Individual"/>
    <s v="Web"/>
  </r>
  <r>
    <x v="426"/>
    <d v="2026-07-16T00:00:00"/>
    <s v="CUST0203"/>
    <x v="4"/>
    <x v="1"/>
    <n v="817.11"/>
    <x v="1"/>
    <x v="2"/>
    <s v="Kolkata"/>
    <s v="Merchant"/>
    <s v="Android"/>
  </r>
  <r>
    <x v="427"/>
    <d v="2026-07-08T00:00:00"/>
    <s v="CUST0169"/>
    <x v="4"/>
    <x v="4"/>
    <n v="6342.9"/>
    <x v="0"/>
    <x v="0"/>
    <s v="Ahmedabad"/>
    <s v="Merchant"/>
    <s v="Android"/>
  </r>
  <r>
    <x v="428"/>
    <d v="2026-02-28T00:00:00"/>
    <s v="CUST0204"/>
    <x v="1"/>
    <x v="1"/>
    <n v="2562.33"/>
    <x v="0"/>
    <x v="0"/>
    <s v="Mumbai"/>
    <s v="Individual"/>
    <s v="iOS"/>
  </r>
  <r>
    <x v="429"/>
    <d v="2026-08-02T00:00:00"/>
    <s v="CUST0161"/>
    <x v="2"/>
    <x v="4"/>
    <n v="3281.92"/>
    <x v="0"/>
    <x v="0"/>
    <s v="Hyderabad"/>
    <s v="Merchant"/>
    <s v="Android"/>
  </r>
  <r>
    <x v="430"/>
    <d v="2026-02-28T00:00:00"/>
    <s v="CUST0037"/>
    <x v="1"/>
    <x v="2"/>
    <n v="2264.17"/>
    <x v="0"/>
    <x v="0"/>
    <s v="Kolkata"/>
    <s v="Individual"/>
    <s v="Android"/>
  </r>
  <r>
    <x v="431"/>
    <d v="2026-08-18T00:00:00"/>
    <s v="CUST0008"/>
    <x v="4"/>
    <x v="4"/>
    <n v="1745.68"/>
    <x v="0"/>
    <x v="0"/>
    <s v="Bengaluru"/>
    <s v="Individual"/>
    <s v="Android"/>
  </r>
  <r>
    <x v="432"/>
    <d v="2026-01-29T00:00:00"/>
    <s v="CUST0045"/>
    <x v="3"/>
    <x v="4"/>
    <n v="654.91"/>
    <x v="0"/>
    <x v="0"/>
    <s v="Chennai"/>
    <s v="Merchant"/>
    <s v="iOS"/>
  </r>
  <r>
    <x v="433"/>
    <d v="2026-08-27T00:00:00"/>
    <s v="CUST0179"/>
    <x v="1"/>
    <x v="4"/>
    <n v="1073.1199999999999"/>
    <x v="0"/>
    <x v="0"/>
    <s v="Hyderabad"/>
    <s v="Small Business"/>
    <s v="Web"/>
  </r>
  <r>
    <x v="434"/>
    <d v="2026-07-31T00:00:00"/>
    <s v="CUST0124"/>
    <x v="2"/>
    <x v="4"/>
    <n v="2010.78"/>
    <x v="0"/>
    <x v="0"/>
    <s v="Ahmedabad"/>
    <s v="Merchant"/>
    <s v="iOS"/>
  </r>
  <r>
    <x v="435"/>
    <d v="2026-08-19T00:00:00"/>
    <s v="CUST0238"/>
    <x v="3"/>
    <x v="1"/>
    <n v="557.79999999999995"/>
    <x v="0"/>
    <x v="0"/>
    <s v="Mumbai"/>
    <s v="Small Business"/>
    <s v="Web"/>
  </r>
  <r>
    <x v="436"/>
    <d v="2026-01-11T00:00:00"/>
    <s v="CUST0015"/>
    <x v="1"/>
    <x v="1"/>
    <n v="891.78"/>
    <x v="0"/>
    <x v="0"/>
    <s v="Kolkata"/>
    <s v="Individual"/>
    <s v="Web"/>
  </r>
  <r>
    <x v="437"/>
    <d v="2026-03-25T00:00:00"/>
    <s v="CUST0139"/>
    <x v="2"/>
    <x v="3"/>
    <n v="3346.04"/>
    <x v="0"/>
    <x v="0"/>
    <s v="Ahmedabad"/>
    <s v="Individual"/>
    <s v="Android"/>
  </r>
  <r>
    <x v="438"/>
    <d v="2026-04-20T00:00:00"/>
    <s v="CUST0036"/>
    <x v="4"/>
    <x v="1"/>
    <n v="467.55"/>
    <x v="0"/>
    <x v="0"/>
    <s v="Chennai"/>
    <s v="Individual"/>
    <s v="Android"/>
  </r>
  <r>
    <x v="439"/>
    <d v="2026-04-11T00:00:00"/>
    <s v="CUST0120"/>
    <x v="3"/>
    <x v="1"/>
    <n v="1861.61"/>
    <x v="2"/>
    <x v="0"/>
    <s v="Chennai"/>
    <s v="Small Business"/>
    <s v="Android"/>
  </r>
  <r>
    <x v="440"/>
    <d v="2026-05-10T00:00:00"/>
    <s v="CUST0099"/>
    <x v="0"/>
    <x v="4"/>
    <n v="1790.04"/>
    <x v="0"/>
    <x v="0"/>
    <s v="Ahmedabad"/>
    <s v="Individual"/>
    <s v="Android"/>
  </r>
  <r>
    <x v="441"/>
    <d v="2026-04-22T00:00:00"/>
    <s v="CUST0106"/>
    <x v="2"/>
    <x v="1"/>
    <n v="2269.4699999999998"/>
    <x v="0"/>
    <x v="0"/>
    <s v="Mumbai"/>
    <s v="Individual"/>
    <s v="Android"/>
  </r>
  <r>
    <x v="442"/>
    <d v="2026-06-30T00:00:00"/>
    <s v="CUST0207"/>
    <x v="4"/>
    <x v="0"/>
    <n v="493.08"/>
    <x v="0"/>
    <x v="0"/>
    <s v="Bengaluru"/>
    <s v="Merchant"/>
    <s v="iOS"/>
  </r>
  <r>
    <x v="443"/>
    <d v="2026-06-16T00:00:00"/>
    <s v="CUST0208"/>
    <x v="2"/>
    <x v="4"/>
    <n v="210.32"/>
    <x v="0"/>
    <x v="0"/>
    <s v="Ahmedabad"/>
    <s v="Individual"/>
    <s v="Android"/>
  </r>
  <r>
    <x v="444"/>
    <d v="2026-07-20T00:00:00"/>
    <s v="CUST0187"/>
    <x v="2"/>
    <x v="2"/>
    <n v="99.14"/>
    <x v="0"/>
    <x v="0"/>
    <s v="Bengaluru"/>
    <s v="Small Business"/>
    <s v="Android"/>
  </r>
  <r>
    <x v="445"/>
    <d v="2026-08-12T00:00:00"/>
    <s v="CUST0249"/>
    <x v="0"/>
    <x v="1"/>
    <n v="398.77"/>
    <x v="0"/>
    <x v="0"/>
    <s v="Hyderabad"/>
    <s v="Merchant"/>
    <s v="Android"/>
  </r>
  <r>
    <x v="446"/>
    <d v="2026-07-07T00:00:00"/>
    <s v="CUST0220"/>
    <x v="2"/>
    <x v="1"/>
    <n v="6337.01"/>
    <x v="0"/>
    <x v="0"/>
    <s v="Hyderabad"/>
    <s v="Small Business"/>
    <s v="Android"/>
  </r>
  <r>
    <x v="447"/>
    <d v="2026-02-22T00:00:00"/>
    <s v="CUST0166"/>
    <x v="3"/>
    <x v="1"/>
    <n v="1065.07"/>
    <x v="0"/>
    <x v="0"/>
    <s v="Bengaluru"/>
    <s v="Individual"/>
    <s v="Web"/>
  </r>
  <r>
    <x v="448"/>
    <d v="2026-07-19T00:00:00"/>
    <s v="CUST0031"/>
    <x v="1"/>
    <x v="0"/>
    <n v="259.10000000000002"/>
    <x v="0"/>
    <x v="0"/>
    <s v="Delhi"/>
    <s v="Individual"/>
    <s v="Android"/>
  </r>
  <r>
    <x v="449"/>
    <d v="2026-09-12T00:00:00"/>
    <s v="CUST0084"/>
    <x v="3"/>
    <x v="1"/>
    <n v="2414.61"/>
    <x v="0"/>
    <x v="0"/>
    <s v="Mumbai"/>
    <s v="Individual"/>
    <s v="Android"/>
  </r>
  <r>
    <x v="450"/>
    <d v="2026-01-13T00:00:00"/>
    <s v="CUST0205"/>
    <x v="3"/>
    <x v="1"/>
    <n v="3301.3"/>
    <x v="0"/>
    <x v="0"/>
    <s v="Hyderabad"/>
    <s v="Individual"/>
    <s v="Android"/>
  </r>
  <r>
    <x v="451"/>
    <d v="2026-09-30T00:00:00"/>
    <s v="CUST0218"/>
    <x v="4"/>
    <x v="1"/>
    <n v="4172.03"/>
    <x v="0"/>
    <x v="0"/>
    <s v="Bengaluru"/>
    <s v="Individual"/>
    <s v="Android"/>
  </r>
  <r>
    <x v="452"/>
    <d v="2026-04-21T00:00:00"/>
    <s v="CUST0145"/>
    <x v="2"/>
    <x v="1"/>
    <n v="1138.99"/>
    <x v="0"/>
    <x v="0"/>
    <s v="Hyderabad"/>
    <s v="Individual"/>
    <s v="Android"/>
  </r>
  <r>
    <x v="453"/>
    <d v="2026-01-13T00:00:00"/>
    <s v="CUST0149"/>
    <x v="0"/>
    <x v="0"/>
    <n v="2339.21"/>
    <x v="0"/>
    <x v="0"/>
    <s v="Pune"/>
    <s v="Small Business"/>
    <s v="Android"/>
  </r>
  <r>
    <x v="454"/>
    <d v="2026-04-22T00:00:00"/>
    <s v="CUST0180"/>
    <x v="2"/>
    <x v="4"/>
    <n v="1334.11"/>
    <x v="0"/>
    <x v="0"/>
    <s v="Kolkata"/>
    <s v="Individual"/>
    <s v="Android"/>
  </r>
  <r>
    <x v="455"/>
    <d v="2026-05-17T00:00:00"/>
    <s v="CUST0015"/>
    <x v="2"/>
    <x v="2"/>
    <n v="242.78"/>
    <x v="0"/>
    <x v="0"/>
    <s v="Kolkata"/>
    <s v="Individual"/>
    <s v="Android"/>
  </r>
  <r>
    <x v="456"/>
    <d v="2026-05-20T00:00:00"/>
    <s v="CUST0115"/>
    <x v="1"/>
    <x v="4"/>
    <n v="782.66"/>
    <x v="0"/>
    <x v="0"/>
    <s v="Pune"/>
    <s v="Small Business"/>
    <s v="iOS"/>
  </r>
  <r>
    <x v="457"/>
    <d v="2026-05-19T00:00:00"/>
    <s v="CUST0151"/>
    <x v="2"/>
    <x v="4"/>
    <n v="1536.42"/>
    <x v="0"/>
    <x v="0"/>
    <s v="Mumbai"/>
    <s v="Individual"/>
    <s v="iOS"/>
  </r>
  <r>
    <x v="458"/>
    <d v="2026-02-25T00:00:00"/>
    <s v="CUST0088"/>
    <x v="1"/>
    <x v="1"/>
    <n v="742.54"/>
    <x v="0"/>
    <x v="0"/>
    <s v="Pune"/>
    <s v="Individual"/>
    <s v="Android"/>
  </r>
  <r>
    <x v="459"/>
    <d v="2026-05-29T00:00:00"/>
    <s v="CUST0230"/>
    <x v="1"/>
    <x v="3"/>
    <n v="1059.3499999999999"/>
    <x v="0"/>
    <x v="0"/>
    <s v="Chennai"/>
    <s v="Individual"/>
    <s v="iOS"/>
  </r>
  <r>
    <x v="460"/>
    <d v="2026-01-28T00:00:00"/>
    <s v="CUST0105"/>
    <x v="1"/>
    <x v="1"/>
    <n v="1538.53"/>
    <x v="0"/>
    <x v="0"/>
    <s v="Kolkata"/>
    <s v="Merchant"/>
    <s v="Android"/>
  </r>
  <r>
    <x v="461"/>
    <d v="2026-08-16T00:00:00"/>
    <s v="CUST0028"/>
    <x v="1"/>
    <x v="4"/>
    <n v="1790.28"/>
    <x v="0"/>
    <x v="0"/>
    <s v="Delhi"/>
    <s v="Individual"/>
    <s v="Android"/>
  </r>
  <r>
    <x v="462"/>
    <d v="2026-07-29T00:00:00"/>
    <s v="CUST0184"/>
    <x v="4"/>
    <x v="3"/>
    <n v="1217.3599999999999"/>
    <x v="0"/>
    <x v="0"/>
    <s v="Kolkata"/>
    <s v="Individual"/>
    <s v="Android"/>
  </r>
  <r>
    <x v="463"/>
    <d v="2026-03-17T00:00:00"/>
    <s v="CUST0118"/>
    <x v="0"/>
    <x v="1"/>
    <n v="1425.61"/>
    <x v="0"/>
    <x v="0"/>
    <s v="Mumbai"/>
    <s v="Merchant"/>
    <s v="Android"/>
  </r>
  <r>
    <x v="464"/>
    <d v="2026-03-14T00:00:00"/>
    <s v="CUST0015"/>
    <x v="1"/>
    <x v="4"/>
    <n v="2227.5100000000002"/>
    <x v="0"/>
    <x v="0"/>
    <s v="Ahmedabad"/>
    <s v="Small Business"/>
    <s v="iOS"/>
  </r>
  <r>
    <x v="465"/>
    <d v="2026-06-12T00:00:00"/>
    <s v="CUST0140"/>
    <x v="0"/>
    <x v="1"/>
    <n v="2212.9499999999998"/>
    <x v="1"/>
    <x v="4"/>
    <s v="Kolkata"/>
    <s v="Individual"/>
    <s v="Android"/>
  </r>
  <r>
    <x v="466"/>
    <d v="2026-05-12T00:00:00"/>
    <s v="CUST0177"/>
    <x v="2"/>
    <x v="1"/>
    <n v="2812.4"/>
    <x v="0"/>
    <x v="0"/>
    <s v="Delhi"/>
    <s v="Individual"/>
    <s v="Android"/>
  </r>
  <r>
    <x v="467"/>
    <d v="2026-04-26T00:00:00"/>
    <s v="CUST0180"/>
    <x v="0"/>
    <x v="1"/>
    <n v="523.41"/>
    <x v="1"/>
    <x v="2"/>
    <s v="Mumbai"/>
    <s v="Individual"/>
    <s v="iOS"/>
  </r>
  <r>
    <x v="468"/>
    <d v="2026-01-25T00:00:00"/>
    <s v="CUST0151"/>
    <x v="3"/>
    <x v="1"/>
    <n v="2377.0100000000002"/>
    <x v="0"/>
    <x v="0"/>
    <s v="Bengaluru"/>
    <s v="Merchant"/>
    <s v="Web"/>
  </r>
  <r>
    <x v="469"/>
    <d v="2026-07-11T00:00:00"/>
    <s v="CUST0061"/>
    <x v="4"/>
    <x v="2"/>
    <n v="1299.05"/>
    <x v="0"/>
    <x v="0"/>
    <s v="Delhi"/>
    <s v="Individual"/>
    <s v="Android"/>
  </r>
  <r>
    <x v="470"/>
    <d v="2026-07-11T00:00:00"/>
    <s v="CUST0193"/>
    <x v="1"/>
    <x v="1"/>
    <n v="1370.58"/>
    <x v="1"/>
    <x v="1"/>
    <s v="Hyderabad"/>
    <s v="Individual"/>
    <s v="Android"/>
  </r>
  <r>
    <x v="471"/>
    <d v="2026-07-07T00:00:00"/>
    <s v="CUST0200"/>
    <x v="1"/>
    <x v="4"/>
    <n v="605.49"/>
    <x v="0"/>
    <x v="0"/>
    <s v="Kolkata"/>
    <s v="Individual"/>
    <s v="Web"/>
  </r>
  <r>
    <x v="472"/>
    <d v="2026-08-08T00:00:00"/>
    <s v="CUST0111"/>
    <x v="3"/>
    <x v="1"/>
    <n v="1142.07"/>
    <x v="0"/>
    <x v="0"/>
    <s v="Mumbai"/>
    <s v="Small Business"/>
    <s v="Android"/>
  </r>
  <r>
    <x v="473"/>
    <d v="2026-09-06T00:00:00"/>
    <s v="CUST0175"/>
    <x v="4"/>
    <x v="4"/>
    <n v="1682.55"/>
    <x v="1"/>
    <x v="2"/>
    <s v="Hyderabad"/>
    <s v="Small Business"/>
    <s v="Android"/>
  </r>
  <r>
    <x v="474"/>
    <d v="2026-09-30T00:00:00"/>
    <s v="CUST0239"/>
    <x v="2"/>
    <x v="1"/>
    <n v="534.61"/>
    <x v="0"/>
    <x v="0"/>
    <s v="Ahmedabad"/>
    <s v="Individual"/>
    <s v="Web"/>
  </r>
  <r>
    <x v="475"/>
    <d v="2026-03-13T00:00:00"/>
    <s v="CUST0060"/>
    <x v="0"/>
    <x v="2"/>
    <n v="744.4"/>
    <x v="0"/>
    <x v="0"/>
    <s v="Bengaluru"/>
    <s v="Small Business"/>
    <s v="Android"/>
  </r>
  <r>
    <x v="476"/>
    <d v="2026-01-06T00:00:00"/>
    <s v="CUST0059"/>
    <x v="4"/>
    <x v="1"/>
    <n v="804.4"/>
    <x v="0"/>
    <x v="0"/>
    <s v="Delhi"/>
    <s v="Merchant"/>
    <s v="Android"/>
  </r>
  <r>
    <x v="477"/>
    <d v="2026-08-30T00:00:00"/>
    <s v="CUST0119"/>
    <x v="2"/>
    <x v="3"/>
    <n v="1421.33"/>
    <x v="0"/>
    <x v="0"/>
    <s v="Mumbai"/>
    <s v="Small Business"/>
    <s v="Android"/>
  </r>
  <r>
    <x v="478"/>
    <d v="2026-01-19T00:00:00"/>
    <s v="CUST0125"/>
    <x v="1"/>
    <x v="1"/>
    <n v="2601.85"/>
    <x v="0"/>
    <x v="0"/>
    <s v="Ahmedabad"/>
    <s v="Merchant"/>
    <s v="Android"/>
  </r>
  <r>
    <x v="479"/>
    <d v="2026-05-25T00:00:00"/>
    <s v="CUST0128"/>
    <x v="4"/>
    <x v="2"/>
    <n v="3292.59"/>
    <x v="0"/>
    <x v="0"/>
    <s v="Mumbai"/>
    <s v="Individual"/>
    <s v="iOS"/>
  </r>
  <r>
    <x v="480"/>
    <d v="2026-08-27T00:00:00"/>
    <s v="CUST0003"/>
    <x v="3"/>
    <x v="1"/>
    <n v="1702.27"/>
    <x v="0"/>
    <x v="0"/>
    <s v="Hyderabad"/>
    <s v="Individual"/>
    <s v="Android"/>
  </r>
  <r>
    <x v="481"/>
    <d v="2026-09-03T00:00:00"/>
    <s v="CUST0115"/>
    <x v="1"/>
    <x v="1"/>
    <n v="321.88"/>
    <x v="1"/>
    <x v="4"/>
    <s v="Chennai"/>
    <s v="Merchant"/>
    <s v="Android"/>
  </r>
  <r>
    <x v="482"/>
    <d v="2026-04-13T00:00:00"/>
    <s v="CUST0060"/>
    <x v="4"/>
    <x v="1"/>
    <n v="3353.92"/>
    <x v="0"/>
    <x v="0"/>
    <s v="Pune"/>
    <s v="Individual"/>
    <s v="iOS"/>
  </r>
  <r>
    <x v="483"/>
    <d v="2026-04-08T00:00:00"/>
    <s v="CUST0238"/>
    <x v="0"/>
    <x v="2"/>
    <n v="3505.79"/>
    <x v="0"/>
    <x v="0"/>
    <s v="Chennai"/>
    <s v="Small Business"/>
    <s v="Android"/>
  </r>
  <r>
    <x v="484"/>
    <d v="2026-04-18T00:00:00"/>
    <s v="CUST0212"/>
    <x v="4"/>
    <x v="1"/>
    <n v="2078.19"/>
    <x v="0"/>
    <x v="0"/>
    <s v="Chennai"/>
    <s v="Individual"/>
    <s v="Android"/>
  </r>
  <r>
    <x v="485"/>
    <d v="2026-01-06T00:00:00"/>
    <s v="CUST0132"/>
    <x v="1"/>
    <x v="1"/>
    <n v="1022.53"/>
    <x v="2"/>
    <x v="0"/>
    <s v="Chennai"/>
    <s v="Individual"/>
    <s v="Android"/>
  </r>
  <r>
    <x v="486"/>
    <d v="2026-08-02T00:00:00"/>
    <s v="CUST0087"/>
    <x v="1"/>
    <x v="1"/>
    <n v="1003.37"/>
    <x v="0"/>
    <x v="0"/>
    <s v="Hyderabad"/>
    <s v="Merchant"/>
    <s v="Android"/>
  </r>
  <r>
    <x v="487"/>
    <d v="2026-09-27T00:00:00"/>
    <s v="CUST0175"/>
    <x v="2"/>
    <x v="4"/>
    <n v="3149.5"/>
    <x v="0"/>
    <x v="0"/>
    <s v="Bengaluru"/>
    <s v="Merchant"/>
    <s v="Android"/>
  </r>
  <r>
    <x v="488"/>
    <d v="2026-03-10T00:00:00"/>
    <s v="CUST0206"/>
    <x v="3"/>
    <x v="1"/>
    <n v="1682.49"/>
    <x v="0"/>
    <x v="0"/>
    <s v="Delhi"/>
    <s v="Individual"/>
    <s v="Android"/>
  </r>
  <r>
    <x v="489"/>
    <d v="2026-04-04T00:00:00"/>
    <s v="CUST0099"/>
    <x v="2"/>
    <x v="1"/>
    <n v="295.22000000000003"/>
    <x v="0"/>
    <x v="0"/>
    <s v="Mumbai"/>
    <s v="Small Business"/>
    <s v="iOS"/>
  </r>
  <r>
    <x v="490"/>
    <d v="2026-01-11T00:00:00"/>
    <s v="CUST0016"/>
    <x v="4"/>
    <x v="1"/>
    <n v="534.41999999999996"/>
    <x v="0"/>
    <x v="0"/>
    <s v="Kolkata"/>
    <s v="Individual"/>
    <s v="Web"/>
  </r>
  <r>
    <x v="491"/>
    <d v="2026-08-29T00:00:00"/>
    <s v="CUST0235"/>
    <x v="1"/>
    <x v="1"/>
    <n v="613.30999999999995"/>
    <x v="0"/>
    <x v="0"/>
    <s v="Hyderabad"/>
    <s v="Small Business"/>
    <s v="Web"/>
  </r>
  <r>
    <x v="492"/>
    <d v="2026-08-27T00:00:00"/>
    <s v="CUST0007"/>
    <x v="4"/>
    <x v="1"/>
    <n v="1290.3900000000001"/>
    <x v="0"/>
    <x v="0"/>
    <s v="Delhi"/>
    <s v="Individual"/>
    <s v="iOS"/>
  </r>
  <r>
    <x v="493"/>
    <d v="2026-07-10T00:00:00"/>
    <s v="CUST0209"/>
    <x v="3"/>
    <x v="1"/>
    <n v="822.37"/>
    <x v="0"/>
    <x v="0"/>
    <s v="Kolkata"/>
    <s v="Individual"/>
    <s v="Android"/>
  </r>
  <r>
    <x v="494"/>
    <d v="2026-01-08T00:00:00"/>
    <s v="CUST0195"/>
    <x v="4"/>
    <x v="2"/>
    <n v="270.69"/>
    <x v="0"/>
    <x v="0"/>
    <s v="Chennai"/>
    <s v="Individual"/>
    <s v="Android"/>
  </r>
  <r>
    <x v="495"/>
    <d v="2026-08-16T00:00:00"/>
    <s v="CUST0055"/>
    <x v="3"/>
    <x v="4"/>
    <n v="759.42"/>
    <x v="0"/>
    <x v="0"/>
    <s v="Bengaluru"/>
    <s v="Individual"/>
    <s v="Android"/>
  </r>
  <r>
    <x v="496"/>
    <d v="2026-05-28T00:00:00"/>
    <s v="CUST0034"/>
    <x v="4"/>
    <x v="1"/>
    <n v="641.03"/>
    <x v="0"/>
    <x v="0"/>
    <s v="Hyderabad"/>
    <s v="Small Business"/>
    <s v="iOS"/>
  </r>
  <r>
    <x v="497"/>
    <d v="2026-05-21T00:00:00"/>
    <s v="CUST0231"/>
    <x v="0"/>
    <x v="1"/>
    <n v="3120.87"/>
    <x v="0"/>
    <x v="0"/>
    <s v="Kolkata"/>
    <s v="Merchant"/>
    <s v="Web"/>
  </r>
  <r>
    <x v="498"/>
    <d v="2026-02-07T00:00:00"/>
    <s v="CUST0126"/>
    <x v="2"/>
    <x v="2"/>
    <n v="2124"/>
    <x v="0"/>
    <x v="0"/>
    <s v="Ahmedabad"/>
    <s v="Small Business"/>
    <s v="Android"/>
  </r>
  <r>
    <x v="499"/>
    <d v="2026-03-16T00:00:00"/>
    <s v="CUST0106"/>
    <x v="4"/>
    <x v="1"/>
    <n v="508.09"/>
    <x v="2"/>
    <x v="0"/>
    <s v="Kolkata"/>
    <s v="Individual"/>
    <s v="Androi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BANK">
  <location ref="A3:I11" firstHeaderRow="1" firstDataRow="3" firstDataCol="1"/>
  <pivotFields count="11">
    <pivotField dataField="1" showAll="0"/>
    <pivotField numFmtId="164" showAll="0"/>
    <pivotField showAll="0"/>
    <pivotField axis="axisRow" showAll="0">
      <items count="6">
        <item x="3"/>
        <item x="2"/>
        <item x="4"/>
        <item x="0"/>
        <item x="1"/>
        <item t="default"/>
      </items>
    </pivotField>
    <pivotField showAll="0">
      <items count="6">
        <item x="0"/>
        <item x="4"/>
        <item x="2"/>
        <item x="1"/>
        <item x="3"/>
        <item t="default"/>
      </items>
    </pivotField>
    <pivotField numFmtId="165"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6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BANK FAILURE ANALYSIS" fld="0" subtotal="count" baseField="0" baseItem="0"/>
    <dataField name="Count of Transact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7" rowHeaderCaption="Failure Reason">
  <location ref="A3:B11" firstHeaderRow="1" firstDataRow="1" firstDataCol="1" rowPageCount="1" colPageCount="1"/>
  <pivotFields count="11">
    <pivotField dataField="1" showAll="0"/>
    <pivotField numFmtId="164" showAll="0"/>
    <pivotField showAll="0"/>
    <pivotField showAll="0"/>
    <pivotField showAll="0"/>
    <pivotField numFmtId="165" showAll="0"/>
    <pivotField name="Failed" axis="axisPage" showAll="0">
      <items count="4">
        <item x="1"/>
        <item x="2"/>
        <item x="0"/>
        <item t="default"/>
      </items>
    </pivotField>
    <pivotField axis="axisRow" showAll="0">
      <items count="9">
        <item x="6"/>
        <item x="7"/>
        <item x="2"/>
        <item x="5"/>
        <item x="3"/>
        <item x="1"/>
        <item x="4"/>
        <item x="0"/>
        <item t="default"/>
      </items>
    </pivotField>
    <pivotField showAll="0"/>
    <pivotField showAll="0"/>
    <pivotField showAll="0"/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6" item="0" hier="-1"/>
  </pageFields>
  <dataFields count="1">
    <dataField name="Failed Transactions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ivotTable4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4" rowHeaderCaption="payment method">
  <location ref="A3:B9" firstHeaderRow="1" firstDataRow="1" firstDataCol="1"/>
  <pivotFields count="11">
    <pivotField dataField="1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umFmtId="164" showAll="0"/>
    <pivotField showAll="0"/>
    <pivotField showAll="0"/>
    <pivotField axis="axisRow" showAll="0" sortType="ascending">
      <items count="6">
        <item x="0"/>
        <item x="4"/>
        <item x="2"/>
        <item x="1"/>
        <item x="3"/>
        <item t="default"/>
      </items>
    </pivotField>
    <pivotField numFmtId="165"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ransactions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opLeftCell="B1" workbookViewId="0">
      <selection activeCell="K12" sqref="K12"/>
    </sheetView>
  </sheetViews>
  <sheetFormatPr defaultRowHeight="14.4" x14ac:dyDescent="0.3"/>
  <cols>
    <col min="1" max="1" width="18.5546875" customWidth="1"/>
    <col min="2" max="2" width="22.21875" customWidth="1"/>
    <col min="3" max="3" width="19.77734375" customWidth="1"/>
    <col min="4" max="4" width="12.5546875" customWidth="1"/>
    <col min="5" max="5" width="19.21875" customWidth="1"/>
    <col min="6" max="6" width="22.21875" bestFit="1" customWidth="1"/>
    <col min="7" max="7" width="21.6640625" bestFit="1" customWidth="1"/>
    <col min="8" max="8" width="23.44140625" customWidth="1"/>
    <col min="9" max="9" width="26.44140625" bestFit="1" customWidth="1"/>
    <col min="10" max="10" width="14.44140625" customWidth="1"/>
  </cols>
  <sheetData>
    <row r="1" spans="1:11" ht="17.399999999999999" x14ac:dyDescent="0.45">
      <c r="A1" s="13" t="s">
        <v>789</v>
      </c>
      <c r="B1" s="13"/>
      <c r="C1" s="13"/>
    </row>
    <row r="3" spans="1:11" x14ac:dyDescent="0.3">
      <c r="B3" s="9" t="s">
        <v>786</v>
      </c>
    </row>
    <row r="4" spans="1:11" x14ac:dyDescent="0.3">
      <c r="B4" t="s">
        <v>23</v>
      </c>
      <c r="D4" t="s">
        <v>149</v>
      </c>
      <c r="F4" t="s">
        <v>15</v>
      </c>
      <c r="H4" t="s">
        <v>797</v>
      </c>
      <c r="I4" t="s">
        <v>798</v>
      </c>
      <c r="J4" t="s">
        <v>788</v>
      </c>
      <c r="K4" t="s">
        <v>781</v>
      </c>
    </row>
    <row r="5" spans="1:11" x14ac:dyDescent="0.3">
      <c r="A5" s="9" t="s">
        <v>788</v>
      </c>
      <c r="B5" t="s">
        <v>787</v>
      </c>
      <c r="C5" t="s">
        <v>785</v>
      </c>
      <c r="D5" t="s">
        <v>787</v>
      </c>
      <c r="E5" t="s">
        <v>785</v>
      </c>
      <c r="F5" t="s">
        <v>787</v>
      </c>
      <c r="G5" t="s">
        <v>785</v>
      </c>
    </row>
    <row r="6" spans="1:11" x14ac:dyDescent="0.3">
      <c r="A6" s="10" t="s">
        <v>36</v>
      </c>
      <c r="B6">
        <v>13</v>
      </c>
      <c r="C6">
        <v>13</v>
      </c>
      <c r="D6">
        <v>5</v>
      </c>
      <c r="E6">
        <v>5</v>
      </c>
      <c r="F6">
        <v>87</v>
      </c>
      <c r="G6">
        <v>87</v>
      </c>
      <c r="H6">
        <v>105</v>
      </c>
      <c r="I6">
        <v>105</v>
      </c>
      <c r="J6" t="s">
        <v>799</v>
      </c>
      <c r="K6" s="19">
        <f>GETPIVOTDATA("BANK FAILURE ANALYSIS",$A$3,"Bank","Axis Bank","Status","Failed")/GETPIVOTDATA("Count of Transaction_ID",$A$3,"Bank","Axis Bank")</f>
        <v>0.12380952380952381</v>
      </c>
    </row>
    <row r="7" spans="1:11" x14ac:dyDescent="0.3">
      <c r="A7" s="10" t="s">
        <v>29</v>
      </c>
      <c r="B7">
        <v>14</v>
      </c>
      <c r="C7">
        <v>14</v>
      </c>
      <c r="D7">
        <v>6</v>
      </c>
      <c r="E7">
        <v>6</v>
      </c>
      <c r="F7">
        <v>90</v>
      </c>
      <c r="G7">
        <v>90</v>
      </c>
      <c r="H7">
        <v>110</v>
      </c>
      <c r="I7">
        <v>110</v>
      </c>
      <c r="J7" t="s">
        <v>800</v>
      </c>
      <c r="K7" s="19">
        <f>GETPIVOTDATA("BANK FAILURE ANALYSIS",$A$3,"Bank","HDFC Bank","Status","Failed")/GETPIVOTDATA("BANK FAILURE ANALYSIS",$A$3,"Bank","HDFC Bank")</f>
        <v>0.12727272727272726</v>
      </c>
    </row>
    <row r="8" spans="1:11" x14ac:dyDescent="0.3">
      <c r="A8" s="10" t="s">
        <v>84</v>
      </c>
      <c r="B8">
        <v>7</v>
      </c>
      <c r="C8">
        <v>7</v>
      </c>
      <c r="D8">
        <v>4</v>
      </c>
      <c r="E8">
        <v>4</v>
      </c>
      <c r="F8">
        <v>83</v>
      </c>
      <c r="G8">
        <v>83</v>
      </c>
      <c r="H8">
        <v>94</v>
      </c>
      <c r="I8">
        <v>94</v>
      </c>
      <c r="J8" t="s">
        <v>801</v>
      </c>
      <c r="K8" s="19">
        <f>GETPIVOTDATA("BANK FAILURE ANALYSIS",$A$3,"Bank","ICICI Bank","Status","Failed")/GETPIVOTDATA("BANK FAILURE ANALYSIS",$A$3,"Bank","ICICI Bank")</f>
        <v>7.4468085106382975E-2</v>
      </c>
    </row>
    <row r="9" spans="1:11" x14ac:dyDescent="0.3">
      <c r="A9" s="10" t="s">
        <v>13</v>
      </c>
      <c r="B9">
        <v>11</v>
      </c>
      <c r="C9">
        <v>11</v>
      </c>
      <c r="D9">
        <v>2</v>
      </c>
      <c r="E9">
        <v>2</v>
      </c>
      <c r="F9">
        <v>78</v>
      </c>
      <c r="G9">
        <v>78</v>
      </c>
      <c r="H9">
        <v>91</v>
      </c>
      <c r="I9">
        <v>91</v>
      </c>
      <c r="J9" t="s">
        <v>802</v>
      </c>
      <c r="K9" s="19">
        <f>GETPIVOTDATA("BANK FAILURE ANALYSIS",$A$3,"Bank","Kotak Mahindra Bank","Status","Failed")/GETPIVOTDATA("Count of Transaction_ID",$A$3,"Bank","Kotak Mahindra Bank")</f>
        <v>0.12087912087912088</v>
      </c>
    </row>
    <row r="10" spans="1:11" x14ac:dyDescent="0.3">
      <c r="A10" s="10" t="s">
        <v>21</v>
      </c>
      <c r="B10">
        <v>15</v>
      </c>
      <c r="C10">
        <v>15</v>
      </c>
      <c r="D10">
        <v>1</v>
      </c>
      <c r="E10">
        <v>1</v>
      </c>
      <c r="F10">
        <v>84</v>
      </c>
      <c r="G10">
        <v>84</v>
      </c>
      <c r="H10">
        <v>100</v>
      </c>
      <c r="I10">
        <v>100</v>
      </c>
      <c r="J10" t="s">
        <v>808</v>
      </c>
      <c r="K10" s="19">
        <f>GETPIVOTDATA("BANK FAILURE ANALYSIS",$A$3,"Bank","State Bank of India","Status","Failed")/GETPIVOTDATA("Count of Transaction_ID",$A$3,"Bank","State Bank of India")</f>
        <v>0.15</v>
      </c>
    </row>
    <row r="11" spans="1:11" x14ac:dyDescent="0.3">
      <c r="A11" s="10" t="s">
        <v>784</v>
      </c>
      <c r="B11">
        <v>60</v>
      </c>
      <c r="C11">
        <v>60</v>
      </c>
      <c r="D11">
        <v>18</v>
      </c>
      <c r="E11">
        <v>18</v>
      </c>
      <c r="F11">
        <v>422</v>
      </c>
      <c r="G11">
        <v>422</v>
      </c>
      <c r="H11">
        <v>500</v>
      </c>
      <c r="I11">
        <v>500</v>
      </c>
    </row>
  </sheetData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E21" sqref="E21"/>
    </sheetView>
  </sheetViews>
  <sheetFormatPr defaultRowHeight="14.4" x14ac:dyDescent="0.3"/>
  <cols>
    <col min="1" max="1" width="17.88671875" bestFit="1" customWidth="1"/>
    <col min="2" max="2" width="17" customWidth="1"/>
  </cols>
  <sheetData>
    <row r="1" spans="1:2" x14ac:dyDescent="0.3">
      <c r="A1" s="9" t="s">
        <v>23</v>
      </c>
      <c r="B1" t="s">
        <v>23</v>
      </c>
    </row>
    <row r="3" spans="1:2" x14ac:dyDescent="0.3">
      <c r="A3" s="9" t="s">
        <v>790</v>
      </c>
      <c r="B3" t="s">
        <v>778</v>
      </c>
    </row>
    <row r="4" spans="1:2" x14ac:dyDescent="0.3">
      <c r="A4" s="10" t="s">
        <v>162</v>
      </c>
      <c r="B4">
        <v>12</v>
      </c>
    </row>
    <row r="5" spans="1:2" x14ac:dyDescent="0.3">
      <c r="A5" s="10" t="s">
        <v>198</v>
      </c>
      <c r="B5">
        <v>4</v>
      </c>
    </row>
    <row r="6" spans="1:2" x14ac:dyDescent="0.3">
      <c r="A6" s="10" t="s">
        <v>70</v>
      </c>
      <c r="B6">
        <v>14</v>
      </c>
    </row>
    <row r="7" spans="1:2" x14ac:dyDescent="0.3">
      <c r="A7" s="10" t="s">
        <v>138</v>
      </c>
      <c r="B7">
        <v>10</v>
      </c>
    </row>
    <row r="8" spans="1:2" x14ac:dyDescent="0.3">
      <c r="A8" s="10" t="s">
        <v>81</v>
      </c>
      <c r="B8">
        <v>10</v>
      </c>
    </row>
    <row r="9" spans="1:2" x14ac:dyDescent="0.3">
      <c r="A9" s="10" t="s">
        <v>24</v>
      </c>
      <c r="B9">
        <v>6</v>
      </c>
    </row>
    <row r="10" spans="1:2" x14ac:dyDescent="0.3">
      <c r="A10" s="10" t="s">
        <v>131</v>
      </c>
      <c r="B10">
        <v>4</v>
      </c>
    </row>
    <row r="11" spans="1:2" x14ac:dyDescent="0.3">
      <c r="A11" s="10" t="s">
        <v>784</v>
      </c>
      <c r="B11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selection activeCell="F24" sqref="F24"/>
    </sheetView>
  </sheetViews>
  <sheetFormatPr defaultRowHeight="14.4" x14ac:dyDescent="0.3"/>
  <cols>
    <col min="1" max="1" width="18" customWidth="1"/>
    <col min="2" max="2" width="11.21875" customWidth="1"/>
    <col min="3" max="3" width="7.88671875" customWidth="1"/>
    <col min="4" max="4" width="7.44140625" customWidth="1"/>
    <col min="5" max="5" width="10.77734375" bestFit="1" customWidth="1"/>
  </cols>
  <sheetData>
    <row r="1" spans="1:2" ht="21" x14ac:dyDescent="0.4">
      <c r="A1" s="18" t="s">
        <v>782</v>
      </c>
    </row>
    <row r="3" spans="1:2" x14ac:dyDescent="0.3">
      <c r="A3" s="9" t="s">
        <v>795</v>
      </c>
      <c r="B3" t="s">
        <v>796</v>
      </c>
    </row>
    <row r="4" spans="1:2" x14ac:dyDescent="0.3">
      <c r="A4" s="10" t="s">
        <v>14</v>
      </c>
      <c r="B4">
        <v>42</v>
      </c>
    </row>
    <row r="5" spans="1:2" x14ac:dyDescent="0.3">
      <c r="A5" s="10" t="s">
        <v>50</v>
      </c>
      <c r="B5">
        <v>80</v>
      </c>
    </row>
    <row r="6" spans="1:2" x14ac:dyDescent="0.3">
      <c r="A6" s="10" t="s">
        <v>39</v>
      </c>
      <c r="B6">
        <v>65</v>
      </c>
    </row>
    <row r="7" spans="1:2" x14ac:dyDescent="0.3">
      <c r="A7" s="10" t="s">
        <v>22</v>
      </c>
      <c r="B7">
        <v>267</v>
      </c>
    </row>
    <row r="8" spans="1:2" x14ac:dyDescent="0.3">
      <c r="A8" s="10" t="s">
        <v>44</v>
      </c>
      <c r="B8">
        <v>46</v>
      </c>
    </row>
    <row r="9" spans="1:2" x14ac:dyDescent="0.3">
      <c r="A9" s="10" t="s">
        <v>784</v>
      </c>
      <c r="B9">
        <v>500</v>
      </c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01"/>
  <sheetViews>
    <sheetView workbookViewId="0">
      <pane ySplit="1" topLeftCell="A474" activePane="bottomLeft" state="frozen"/>
      <selection pane="bottomLeft" activeCell="A474" sqref="A474"/>
    </sheetView>
  </sheetViews>
  <sheetFormatPr defaultRowHeight="14.4" x14ac:dyDescent="0.3"/>
  <cols>
    <col min="1" max="1" width="17" customWidth="1"/>
    <col min="2" max="2" width="18" customWidth="1"/>
    <col min="3" max="3" width="15" customWidth="1"/>
    <col min="4" max="4" width="24" customWidth="1"/>
    <col min="5" max="5" width="18" customWidth="1"/>
    <col min="6" max="6" width="16" customWidth="1"/>
    <col min="7" max="7" width="13" customWidth="1"/>
    <col min="8" max="8" width="25" customWidth="1"/>
    <col min="9" max="9" width="15" customWidth="1"/>
    <col min="10" max="10" width="18" customWidth="1"/>
    <col min="11" max="11" width="14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s="2">
        <v>46125</v>
      </c>
      <c r="C2" t="s">
        <v>12</v>
      </c>
      <c r="D2" t="s">
        <v>13</v>
      </c>
      <c r="E2" t="s">
        <v>14</v>
      </c>
      <c r="F2" s="3">
        <v>794.25</v>
      </c>
      <c r="G2" t="s">
        <v>15</v>
      </c>
      <c r="I2" t="s">
        <v>16</v>
      </c>
      <c r="J2" t="s">
        <v>17</v>
      </c>
      <c r="K2" t="s">
        <v>18</v>
      </c>
    </row>
    <row r="3" spans="1:11" x14ac:dyDescent="0.3">
      <c r="A3" t="s">
        <v>19</v>
      </c>
      <c r="B3" s="2">
        <v>46122</v>
      </c>
      <c r="C3" t="s">
        <v>20</v>
      </c>
      <c r="D3" t="s">
        <v>21</v>
      </c>
      <c r="E3" t="s">
        <v>22</v>
      </c>
      <c r="F3" s="3">
        <v>1766.32</v>
      </c>
      <c r="G3" t="s">
        <v>23</v>
      </c>
      <c r="H3" t="s">
        <v>24</v>
      </c>
      <c r="I3" t="s">
        <v>25</v>
      </c>
      <c r="J3" t="s">
        <v>17</v>
      </c>
      <c r="K3" t="s">
        <v>26</v>
      </c>
    </row>
    <row r="4" spans="1:11" x14ac:dyDescent="0.3">
      <c r="A4" t="s">
        <v>27</v>
      </c>
      <c r="B4" s="2">
        <v>46183</v>
      </c>
      <c r="C4" t="s">
        <v>28</v>
      </c>
      <c r="D4" t="s">
        <v>29</v>
      </c>
      <c r="E4" t="s">
        <v>22</v>
      </c>
      <c r="F4" s="3">
        <v>1438.78</v>
      </c>
      <c r="G4" t="s">
        <v>15</v>
      </c>
      <c r="I4" t="s">
        <v>30</v>
      </c>
      <c r="J4" t="s">
        <v>17</v>
      </c>
      <c r="K4" t="s">
        <v>18</v>
      </c>
    </row>
    <row r="5" spans="1:11" x14ac:dyDescent="0.3">
      <c r="A5" t="s">
        <v>31</v>
      </c>
      <c r="B5" s="2">
        <v>46293</v>
      </c>
      <c r="C5" t="s">
        <v>32</v>
      </c>
      <c r="D5" t="s">
        <v>21</v>
      </c>
      <c r="E5" t="s">
        <v>22</v>
      </c>
      <c r="F5" s="3">
        <v>285.75</v>
      </c>
      <c r="G5" t="s">
        <v>15</v>
      </c>
      <c r="I5" t="s">
        <v>33</v>
      </c>
      <c r="J5" t="s">
        <v>17</v>
      </c>
      <c r="K5" t="s">
        <v>26</v>
      </c>
    </row>
    <row r="6" spans="1:11" x14ac:dyDescent="0.3">
      <c r="A6" t="s">
        <v>34</v>
      </c>
      <c r="B6" s="2">
        <v>46157</v>
      </c>
      <c r="C6" t="s">
        <v>35</v>
      </c>
      <c r="D6" t="s">
        <v>36</v>
      </c>
      <c r="E6" t="s">
        <v>22</v>
      </c>
      <c r="F6" s="3">
        <v>765.01</v>
      </c>
      <c r="G6" t="s">
        <v>15</v>
      </c>
      <c r="I6" t="s">
        <v>33</v>
      </c>
      <c r="J6" t="s">
        <v>17</v>
      </c>
      <c r="K6" t="s">
        <v>18</v>
      </c>
    </row>
    <row r="7" spans="1:11" x14ac:dyDescent="0.3">
      <c r="A7" t="s">
        <v>37</v>
      </c>
      <c r="B7" s="2">
        <v>46057</v>
      </c>
      <c r="C7" t="s">
        <v>38</v>
      </c>
      <c r="D7" t="s">
        <v>36</v>
      </c>
      <c r="E7" t="s">
        <v>39</v>
      </c>
      <c r="F7" s="3">
        <v>2442.21</v>
      </c>
      <c r="G7" t="s">
        <v>15</v>
      </c>
      <c r="I7" t="s">
        <v>40</v>
      </c>
      <c r="J7" t="s">
        <v>41</v>
      </c>
      <c r="K7" t="s">
        <v>18</v>
      </c>
    </row>
    <row r="8" spans="1:11" x14ac:dyDescent="0.3">
      <c r="A8" t="s">
        <v>42</v>
      </c>
      <c r="B8" s="2">
        <v>46282</v>
      </c>
      <c r="C8" t="s">
        <v>43</v>
      </c>
      <c r="D8" t="s">
        <v>36</v>
      </c>
      <c r="E8" t="s">
        <v>44</v>
      </c>
      <c r="F8" s="3">
        <v>1413.83</v>
      </c>
      <c r="G8" t="s">
        <v>15</v>
      </c>
      <c r="I8" t="s">
        <v>45</v>
      </c>
      <c r="J8" t="s">
        <v>46</v>
      </c>
      <c r="K8" t="s">
        <v>47</v>
      </c>
    </row>
    <row r="9" spans="1:11" x14ac:dyDescent="0.3">
      <c r="A9" t="s">
        <v>48</v>
      </c>
      <c r="B9" s="2">
        <v>46075</v>
      </c>
      <c r="C9" t="s">
        <v>49</v>
      </c>
      <c r="D9" t="s">
        <v>29</v>
      </c>
      <c r="E9" t="s">
        <v>50</v>
      </c>
      <c r="F9" s="3">
        <v>2324.8200000000002</v>
      </c>
      <c r="G9" t="s">
        <v>15</v>
      </c>
      <c r="I9" t="s">
        <v>33</v>
      </c>
      <c r="J9" t="s">
        <v>17</v>
      </c>
      <c r="K9" t="s">
        <v>18</v>
      </c>
    </row>
    <row r="10" spans="1:11" x14ac:dyDescent="0.3">
      <c r="A10" t="s">
        <v>51</v>
      </c>
      <c r="B10" s="2">
        <v>46087</v>
      </c>
      <c r="C10" t="s">
        <v>52</v>
      </c>
      <c r="D10" t="s">
        <v>21</v>
      </c>
      <c r="E10" t="s">
        <v>22</v>
      </c>
      <c r="F10" s="3">
        <v>1161.45</v>
      </c>
      <c r="G10" t="s">
        <v>15</v>
      </c>
      <c r="I10" t="s">
        <v>30</v>
      </c>
      <c r="J10" t="s">
        <v>41</v>
      </c>
      <c r="K10" t="s">
        <v>26</v>
      </c>
    </row>
    <row r="11" spans="1:11" x14ac:dyDescent="0.3">
      <c r="A11" t="s">
        <v>53</v>
      </c>
      <c r="B11" s="2">
        <v>46253</v>
      </c>
      <c r="C11" t="s">
        <v>54</v>
      </c>
      <c r="D11" t="s">
        <v>36</v>
      </c>
      <c r="E11" t="s">
        <v>50</v>
      </c>
      <c r="F11" s="3">
        <v>976.14</v>
      </c>
      <c r="G11" t="s">
        <v>15</v>
      </c>
      <c r="I11" t="s">
        <v>16</v>
      </c>
      <c r="J11" t="s">
        <v>46</v>
      </c>
      <c r="K11" t="s">
        <v>18</v>
      </c>
    </row>
    <row r="12" spans="1:11" x14ac:dyDescent="0.3">
      <c r="A12" t="s">
        <v>55</v>
      </c>
      <c r="B12" s="2">
        <v>46084</v>
      </c>
      <c r="C12" t="s">
        <v>56</v>
      </c>
      <c r="D12" t="s">
        <v>21</v>
      </c>
      <c r="E12" t="s">
        <v>50</v>
      </c>
      <c r="F12" s="3">
        <v>2906.96</v>
      </c>
      <c r="G12" t="s">
        <v>15</v>
      </c>
      <c r="I12" t="s">
        <v>30</v>
      </c>
      <c r="J12" t="s">
        <v>17</v>
      </c>
      <c r="K12" t="s">
        <v>18</v>
      </c>
    </row>
    <row r="13" spans="1:11" x14ac:dyDescent="0.3">
      <c r="A13" t="s">
        <v>57</v>
      </c>
      <c r="B13" s="2">
        <v>46027</v>
      </c>
      <c r="C13" t="s">
        <v>58</v>
      </c>
      <c r="D13" t="s">
        <v>21</v>
      </c>
      <c r="E13" t="s">
        <v>50</v>
      </c>
      <c r="F13" s="3">
        <v>611.80999999999995</v>
      </c>
      <c r="G13" t="s">
        <v>15</v>
      </c>
      <c r="I13" t="s">
        <v>45</v>
      </c>
      <c r="J13" t="s">
        <v>41</v>
      </c>
      <c r="K13" t="s">
        <v>18</v>
      </c>
    </row>
    <row r="14" spans="1:11" x14ac:dyDescent="0.3">
      <c r="A14" t="s">
        <v>59</v>
      </c>
      <c r="B14" s="2">
        <v>46085</v>
      </c>
      <c r="C14" t="s">
        <v>60</v>
      </c>
      <c r="D14" t="s">
        <v>36</v>
      </c>
      <c r="E14" t="s">
        <v>50</v>
      </c>
      <c r="F14" s="3">
        <v>1147.3499999999999</v>
      </c>
      <c r="G14" t="s">
        <v>15</v>
      </c>
      <c r="I14" t="s">
        <v>25</v>
      </c>
      <c r="J14" t="s">
        <v>17</v>
      </c>
      <c r="K14" t="s">
        <v>26</v>
      </c>
    </row>
    <row r="15" spans="1:11" x14ac:dyDescent="0.3">
      <c r="A15" t="s">
        <v>61</v>
      </c>
      <c r="B15" s="2">
        <v>46058</v>
      </c>
      <c r="C15" t="s">
        <v>62</v>
      </c>
      <c r="D15" t="s">
        <v>21</v>
      </c>
      <c r="E15" t="s">
        <v>44</v>
      </c>
      <c r="F15" s="3">
        <v>2467.4899999999998</v>
      </c>
      <c r="G15" t="s">
        <v>15</v>
      </c>
      <c r="I15" t="s">
        <v>30</v>
      </c>
      <c r="J15" t="s">
        <v>17</v>
      </c>
      <c r="K15" t="s">
        <v>47</v>
      </c>
    </row>
    <row r="16" spans="1:11" x14ac:dyDescent="0.3">
      <c r="A16" t="s">
        <v>63</v>
      </c>
      <c r="B16" s="2">
        <v>46156</v>
      </c>
      <c r="C16" t="s">
        <v>64</v>
      </c>
      <c r="D16" t="s">
        <v>21</v>
      </c>
      <c r="E16" t="s">
        <v>22</v>
      </c>
      <c r="F16" s="3">
        <v>394.75</v>
      </c>
      <c r="G16" t="s">
        <v>15</v>
      </c>
      <c r="I16" t="s">
        <v>65</v>
      </c>
      <c r="J16" t="s">
        <v>41</v>
      </c>
      <c r="K16" t="s">
        <v>47</v>
      </c>
    </row>
    <row r="17" spans="1:11" x14ac:dyDescent="0.3">
      <c r="A17" t="s">
        <v>66</v>
      </c>
      <c r="B17" s="2">
        <v>46143</v>
      </c>
      <c r="C17" t="s">
        <v>67</v>
      </c>
      <c r="D17" t="s">
        <v>29</v>
      </c>
      <c r="E17" t="s">
        <v>39</v>
      </c>
      <c r="F17" s="3">
        <v>1010.74</v>
      </c>
      <c r="G17" t="s">
        <v>15</v>
      </c>
      <c r="I17" t="s">
        <v>30</v>
      </c>
      <c r="J17" t="s">
        <v>17</v>
      </c>
      <c r="K17" t="s">
        <v>18</v>
      </c>
    </row>
    <row r="18" spans="1:11" x14ac:dyDescent="0.3">
      <c r="A18" t="s">
        <v>68</v>
      </c>
      <c r="B18" s="2">
        <v>46247</v>
      </c>
      <c r="C18" t="s">
        <v>69</v>
      </c>
      <c r="D18" t="s">
        <v>29</v>
      </c>
      <c r="E18" t="s">
        <v>44</v>
      </c>
      <c r="F18" s="3">
        <v>928.01</v>
      </c>
      <c r="G18" t="s">
        <v>23</v>
      </c>
      <c r="H18" t="s">
        <v>70</v>
      </c>
      <c r="I18" t="s">
        <v>33</v>
      </c>
      <c r="J18" t="s">
        <v>17</v>
      </c>
      <c r="K18" t="s">
        <v>47</v>
      </c>
    </row>
    <row r="19" spans="1:11" x14ac:dyDescent="0.3">
      <c r="A19" t="s">
        <v>71</v>
      </c>
      <c r="B19" s="2">
        <v>46135</v>
      </c>
      <c r="C19" t="s">
        <v>72</v>
      </c>
      <c r="D19" t="s">
        <v>29</v>
      </c>
      <c r="E19" t="s">
        <v>22</v>
      </c>
      <c r="F19" s="3">
        <v>657.45</v>
      </c>
      <c r="G19" t="s">
        <v>15</v>
      </c>
      <c r="I19" t="s">
        <v>30</v>
      </c>
      <c r="J19" t="s">
        <v>17</v>
      </c>
      <c r="K19" t="s">
        <v>18</v>
      </c>
    </row>
    <row r="20" spans="1:11" x14ac:dyDescent="0.3">
      <c r="A20" t="s">
        <v>73</v>
      </c>
      <c r="B20" s="2">
        <v>46246</v>
      </c>
      <c r="C20" t="s">
        <v>74</v>
      </c>
      <c r="D20" t="s">
        <v>36</v>
      </c>
      <c r="E20" t="s">
        <v>22</v>
      </c>
      <c r="F20" s="3">
        <v>1038.78</v>
      </c>
      <c r="G20" t="s">
        <v>15</v>
      </c>
      <c r="I20" t="s">
        <v>40</v>
      </c>
      <c r="J20" t="s">
        <v>46</v>
      </c>
      <c r="K20" t="s">
        <v>18</v>
      </c>
    </row>
    <row r="21" spans="1:11" x14ac:dyDescent="0.3">
      <c r="A21" t="s">
        <v>75</v>
      </c>
      <c r="B21" s="2">
        <v>46206</v>
      </c>
      <c r="C21" t="s">
        <v>76</v>
      </c>
      <c r="D21" t="s">
        <v>13</v>
      </c>
      <c r="E21" t="s">
        <v>22</v>
      </c>
      <c r="F21" s="3">
        <v>1504.53</v>
      </c>
      <c r="G21" t="s">
        <v>15</v>
      </c>
      <c r="I21" t="s">
        <v>33</v>
      </c>
      <c r="J21" t="s">
        <v>46</v>
      </c>
      <c r="K21" t="s">
        <v>18</v>
      </c>
    </row>
    <row r="22" spans="1:11" x14ac:dyDescent="0.3">
      <c r="A22" t="s">
        <v>77</v>
      </c>
      <c r="B22" s="2">
        <v>46119</v>
      </c>
      <c r="C22" t="s">
        <v>78</v>
      </c>
      <c r="D22" t="s">
        <v>21</v>
      </c>
      <c r="E22" t="s">
        <v>50</v>
      </c>
      <c r="F22" s="3">
        <v>1225.56</v>
      </c>
      <c r="G22" t="s">
        <v>15</v>
      </c>
      <c r="I22" t="s">
        <v>33</v>
      </c>
      <c r="J22" t="s">
        <v>17</v>
      </c>
      <c r="K22" t="s">
        <v>18</v>
      </c>
    </row>
    <row r="23" spans="1:11" x14ac:dyDescent="0.3">
      <c r="A23" t="s">
        <v>79</v>
      </c>
      <c r="B23" s="2">
        <v>46170</v>
      </c>
      <c r="C23" t="s">
        <v>80</v>
      </c>
      <c r="D23" t="s">
        <v>36</v>
      </c>
      <c r="E23" t="s">
        <v>50</v>
      </c>
      <c r="F23" s="3">
        <v>488.95</v>
      </c>
      <c r="G23" t="s">
        <v>23</v>
      </c>
      <c r="H23" t="s">
        <v>81</v>
      </c>
      <c r="I23" t="s">
        <v>45</v>
      </c>
      <c r="J23" t="s">
        <v>41</v>
      </c>
      <c r="K23" t="s">
        <v>18</v>
      </c>
    </row>
    <row r="24" spans="1:11" x14ac:dyDescent="0.3">
      <c r="A24" t="s">
        <v>82</v>
      </c>
      <c r="B24" s="2">
        <v>46173</v>
      </c>
      <c r="C24" t="s">
        <v>83</v>
      </c>
      <c r="D24" t="s">
        <v>84</v>
      </c>
      <c r="E24" t="s">
        <v>22</v>
      </c>
      <c r="F24" s="3">
        <v>4886.91</v>
      </c>
      <c r="G24" t="s">
        <v>15</v>
      </c>
      <c r="I24" t="s">
        <v>65</v>
      </c>
      <c r="J24" t="s">
        <v>17</v>
      </c>
      <c r="K24" t="s">
        <v>18</v>
      </c>
    </row>
    <row r="25" spans="1:11" x14ac:dyDescent="0.3">
      <c r="A25" t="s">
        <v>85</v>
      </c>
      <c r="B25" s="2">
        <v>46276</v>
      </c>
      <c r="C25" t="s">
        <v>83</v>
      </c>
      <c r="D25" t="s">
        <v>13</v>
      </c>
      <c r="E25" t="s">
        <v>39</v>
      </c>
      <c r="F25" s="3">
        <v>1615.43</v>
      </c>
      <c r="G25" t="s">
        <v>15</v>
      </c>
      <c r="I25" t="s">
        <v>65</v>
      </c>
      <c r="J25" t="s">
        <v>17</v>
      </c>
      <c r="K25" t="s">
        <v>18</v>
      </c>
    </row>
    <row r="26" spans="1:11" x14ac:dyDescent="0.3">
      <c r="A26" t="s">
        <v>86</v>
      </c>
      <c r="B26" s="2">
        <v>46230</v>
      </c>
      <c r="C26" t="s">
        <v>87</v>
      </c>
      <c r="D26" t="s">
        <v>36</v>
      </c>
      <c r="E26" t="s">
        <v>22</v>
      </c>
      <c r="F26" s="3">
        <v>1907.04</v>
      </c>
      <c r="G26" t="s">
        <v>15</v>
      </c>
      <c r="I26" t="s">
        <v>25</v>
      </c>
      <c r="J26" t="s">
        <v>41</v>
      </c>
      <c r="K26" t="s">
        <v>26</v>
      </c>
    </row>
    <row r="27" spans="1:11" x14ac:dyDescent="0.3">
      <c r="A27" t="s">
        <v>88</v>
      </c>
      <c r="B27" s="2">
        <v>46121</v>
      </c>
      <c r="C27" t="s">
        <v>89</v>
      </c>
      <c r="D27" t="s">
        <v>84</v>
      </c>
      <c r="E27" t="s">
        <v>44</v>
      </c>
      <c r="F27" s="3">
        <v>2989.56</v>
      </c>
      <c r="G27" t="s">
        <v>15</v>
      </c>
      <c r="I27" t="s">
        <v>65</v>
      </c>
      <c r="J27" t="s">
        <v>17</v>
      </c>
      <c r="K27" t="s">
        <v>18</v>
      </c>
    </row>
    <row r="28" spans="1:11" x14ac:dyDescent="0.3">
      <c r="A28" t="s">
        <v>90</v>
      </c>
      <c r="B28" s="2">
        <v>46191</v>
      </c>
      <c r="C28" t="s">
        <v>91</v>
      </c>
      <c r="D28" t="s">
        <v>21</v>
      </c>
      <c r="E28" t="s">
        <v>22</v>
      </c>
      <c r="F28" s="3">
        <v>442.54</v>
      </c>
      <c r="G28" t="s">
        <v>15</v>
      </c>
      <c r="I28" t="s">
        <v>45</v>
      </c>
      <c r="J28" t="s">
        <v>17</v>
      </c>
      <c r="K28" t="s">
        <v>18</v>
      </c>
    </row>
    <row r="29" spans="1:11" x14ac:dyDescent="0.3">
      <c r="A29" t="s">
        <v>92</v>
      </c>
      <c r="B29" s="2">
        <v>46044</v>
      </c>
      <c r="C29" t="s">
        <v>93</v>
      </c>
      <c r="D29" t="s">
        <v>13</v>
      </c>
      <c r="E29" t="s">
        <v>22</v>
      </c>
      <c r="F29" s="3">
        <v>1177.46</v>
      </c>
      <c r="G29" t="s">
        <v>15</v>
      </c>
      <c r="I29" t="s">
        <v>30</v>
      </c>
      <c r="J29" t="s">
        <v>46</v>
      </c>
      <c r="K29" t="s">
        <v>26</v>
      </c>
    </row>
    <row r="30" spans="1:11" x14ac:dyDescent="0.3">
      <c r="A30" t="s">
        <v>94</v>
      </c>
      <c r="B30" s="2">
        <v>46119</v>
      </c>
      <c r="C30" t="s">
        <v>95</v>
      </c>
      <c r="D30" t="s">
        <v>13</v>
      </c>
      <c r="E30" t="s">
        <v>22</v>
      </c>
      <c r="F30" s="3">
        <v>983.96</v>
      </c>
      <c r="G30" t="s">
        <v>15</v>
      </c>
      <c r="I30" t="s">
        <v>65</v>
      </c>
      <c r="J30" t="s">
        <v>17</v>
      </c>
      <c r="K30" t="s">
        <v>18</v>
      </c>
    </row>
    <row r="31" spans="1:11" x14ac:dyDescent="0.3">
      <c r="A31" t="s">
        <v>96</v>
      </c>
      <c r="B31" s="2">
        <v>46194</v>
      </c>
      <c r="C31" t="s">
        <v>97</v>
      </c>
      <c r="D31" t="s">
        <v>13</v>
      </c>
      <c r="E31" t="s">
        <v>44</v>
      </c>
      <c r="F31" s="3">
        <v>9229.9</v>
      </c>
      <c r="G31" t="s">
        <v>15</v>
      </c>
      <c r="I31" t="s">
        <v>25</v>
      </c>
      <c r="J31" t="s">
        <v>46</v>
      </c>
      <c r="K31" t="s">
        <v>18</v>
      </c>
    </row>
    <row r="32" spans="1:11" x14ac:dyDescent="0.3">
      <c r="A32" t="s">
        <v>98</v>
      </c>
      <c r="B32" s="2">
        <v>46203</v>
      </c>
      <c r="C32" t="s">
        <v>99</v>
      </c>
      <c r="D32" t="s">
        <v>13</v>
      </c>
      <c r="E32" t="s">
        <v>22</v>
      </c>
      <c r="F32" s="3">
        <v>1544.38</v>
      </c>
      <c r="G32" t="s">
        <v>15</v>
      </c>
      <c r="I32" t="s">
        <v>100</v>
      </c>
      <c r="J32" t="s">
        <v>17</v>
      </c>
      <c r="K32" t="s">
        <v>18</v>
      </c>
    </row>
    <row r="33" spans="1:11" x14ac:dyDescent="0.3">
      <c r="A33" t="s">
        <v>101</v>
      </c>
      <c r="B33" s="2">
        <v>46245</v>
      </c>
      <c r="C33" t="s">
        <v>102</v>
      </c>
      <c r="D33" t="s">
        <v>21</v>
      </c>
      <c r="E33" t="s">
        <v>39</v>
      </c>
      <c r="F33" s="3">
        <v>1246.44</v>
      </c>
      <c r="G33" t="s">
        <v>15</v>
      </c>
      <c r="I33" t="s">
        <v>65</v>
      </c>
      <c r="J33" t="s">
        <v>17</v>
      </c>
      <c r="K33" t="s">
        <v>18</v>
      </c>
    </row>
    <row r="34" spans="1:11" x14ac:dyDescent="0.3">
      <c r="A34" t="s">
        <v>103</v>
      </c>
      <c r="B34" s="2">
        <v>46149</v>
      </c>
      <c r="C34" t="s">
        <v>54</v>
      </c>
      <c r="D34" t="s">
        <v>29</v>
      </c>
      <c r="E34" t="s">
        <v>14</v>
      </c>
      <c r="F34" s="3">
        <v>2652.2</v>
      </c>
      <c r="G34" t="s">
        <v>15</v>
      </c>
      <c r="I34" t="s">
        <v>45</v>
      </c>
      <c r="J34" t="s">
        <v>41</v>
      </c>
      <c r="K34" t="s">
        <v>18</v>
      </c>
    </row>
    <row r="35" spans="1:11" x14ac:dyDescent="0.3">
      <c r="A35" t="s">
        <v>104</v>
      </c>
      <c r="B35" s="2">
        <v>46048</v>
      </c>
      <c r="C35" t="s">
        <v>105</v>
      </c>
      <c r="D35" t="s">
        <v>29</v>
      </c>
      <c r="E35" t="s">
        <v>39</v>
      </c>
      <c r="F35" s="3">
        <v>1247.1300000000001</v>
      </c>
      <c r="G35" t="s">
        <v>15</v>
      </c>
      <c r="I35" t="s">
        <v>65</v>
      </c>
      <c r="J35" t="s">
        <v>46</v>
      </c>
      <c r="K35" t="s">
        <v>18</v>
      </c>
    </row>
    <row r="36" spans="1:11" x14ac:dyDescent="0.3">
      <c r="A36" t="s">
        <v>106</v>
      </c>
      <c r="B36" s="2">
        <v>46042</v>
      </c>
      <c r="C36" t="s">
        <v>107</v>
      </c>
      <c r="D36" t="s">
        <v>36</v>
      </c>
      <c r="E36" t="s">
        <v>14</v>
      </c>
      <c r="F36" s="3">
        <v>3255.94</v>
      </c>
      <c r="G36" t="s">
        <v>15</v>
      </c>
      <c r="I36" t="s">
        <v>30</v>
      </c>
      <c r="J36" t="s">
        <v>17</v>
      </c>
      <c r="K36" t="s">
        <v>18</v>
      </c>
    </row>
    <row r="37" spans="1:11" x14ac:dyDescent="0.3">
      <c r="A37" t="s">
        <v>108</v>
      </c>
      <c r="B37" s="2">
        <v>46073</v>
      </c>
      <c r="C37" t="s">
        <v>109</v>
      </c>
      <c r="D37" t="s">
        <v>13</v>
      </c>
      <c r="E37" t="s">
        <v>22</v>
      </c>
      <c r="F37" s="3">
        <v>2518.02</v>
      </c>
      <c r="G37" t="s">
        <v>15</v>
      </c>
      <c r="I37" t="s">
        <v>25</v>
      </c>
      <c r="J37" t="s">
        <v>17</v>
      </c>
      <c r="K37" t="s">
        <v>18</v>
      </c>
    </row>
    <row r="38" spans="1:11" x14ac:dyDescent="0.3">
      <c r="A38" t="s">
        <v>110</v>
      </c>
      <c r="B38" s="2">
        <v>46293</v>
      </c>
      <c r="C38" t="s">
        <v>111</v>
      </c>
      <c r="D38" t="s">
        <v>13</v>
      </c>
      <c r="E38" t="s">
        <v>22</v>
      </c>
      <c r="F38" s="3">
        <v>614.15</v>
      </c>
      <c r="G38" t="s">
        <v>15</v>
      </c>
      <c r="I38" t="s">
        <v>33</v>
      </c>
      <c r="J38" t="s">
        <v>17</v>
      </c>
      <c r="K38" t="s">
        <v>26</v>
      </c>
    </row>
    <row r="39" spans="1:11" x14ac:dyDescent="0.3">
      <c r="A39" t="s">
        <v>112</v>
      </c>
      <c r="B39" s="2">
        <v>46069</v>
      </c>
      <c r="C39" t="s">
        <v>113</v>
      </c>
      <c r="D39" t="s">
        <v>36</v>
      </c>
      <c r="E39" t="s">
        <v>50</v>
      </c>
      <c r="F39" s="3">
        <v>933.52</v>
      </c>
      <c r="G39" t="s">
        <v>15</v>
      </c>
      <c r="I39" t="s">
        <v>65</v>
      </c>
      <c r="J39" t="s">
        <v>46</v>
      </c>
      <c r="K39" t="s">
        <v>18</v>
      </c>
    </row>
    <row r="40" spans="1:11" x14ac:dyDescent="0.3">
      <c r="A40" t="s">
        <v>114</v>
      </c>
      <c r="B40" s="2">
        <v>46142</v>
      </c>
      <c r="C40" t="s">
        <v>115</v>
      </c>
      <c r="D40" t="s">
        <v>13</v>
      </c>
      <c r="E40" t="s">
        <v>22</v>
      </c>
      <c r="F40" s="3">
        <v>859.8</v>
      </c>
      <c r="G40" t="s">
        <v>15</v>
      </c>
      <c r="I40" t="s">
        <v>40</v>
      </c>
      <c r="J40" t="s">
        <v>46</v>
      </c>
      <c r="K40" t="s">
        <v>47</v>
      </c>
    </row>
    <row r="41" spans="1:11" x14ac:dyDescent="0.3">
      <c r="A41" t="s">
        <v>116</v>
      </c>
      <c r="B41" s="2">
        <v>46151</v>
      </c>
      <c r="C41" t="s">
        <v>117</v>
      </c>
      <c r="D41" t="s">
        <v>29</v>
      </c>
      <c r="E41" t="s">
        <v>22</v>
      </c>
      <c r="F41" s="3">
        <v>343.17</v>
      </c>
      <c r="G41" t="s">
        <v>15</v>
      </c>
      <c r="I41" t="s">
        <v>16</v>
      </c>
      <c r="J41" t="s">
        <v>17</v>
      </c>
      <c r="K41" t="s">
        <v>18</v>
      </c>
    </row>
    <row r="42" spans="1:11" x14ac:dyDescent="0.3">
      <c r="A42" t="s">
        <v>118</v>
      </c>
      <c r="B42" s="2">
        <v>46259</v>
      </c>
      <c r="C42" t="s">
        <v>60</v>
      </c>
      <c r="D42" t="s">
        <v>21</v>
      </c>
      <c r="E42" t="s">
        <v>50</v>
      </c>
      <c r="F42" s="3">
        <v>1592.48</v>
      </c>
      <c r="G42" t="s">
        <v>15</v>
      </c>
      <c r="I42" t="s">
        <v>33</v>
      </c>
      <c r="J42" t="s">
        <v>17</v>
      </c>
      <c r="K42" t="s">
        <v>18</v>
      </c>
    </row>
    <row r="43" spans="1:11" x14ac:dyDescent="0.3">
      <c r="A43" t="s">
        <v>119</v>
      </c>
      <c r="B43" s="2">
        <v>46242</v>
      </c>
      <c r="C43" t="s">
        <v>120</v>
      </c>
      <c r="D43" t="s">
        <v>29</v>
      </c>
      <c r="E43" t="s">
        <v>22</v>
      </c>
      <c r="F43" s="3">
        <v>4140.58</v>
      </c>
      <c r="G43" t="s">
        <v>15</v>
      </c>
      <c r="I43" t="s">
        <v>25</v>
      </c>
      <c r="J43" t="s">
        <v>46</v>
      </c>
      <c r="K43" t="s">
        <v>26</v>
      </c>
    </row>
    <row r="44" spans="1:11" x14ac:dyDescent="0.3">
      <c r="A44" t="s">
        <v>121</v>
      </c>
      <c r="B44" s="2">
        <v>46061</v>
      </c>
      <c r="C44" t="s">
        <v>122</v>
      </c>
      <c r="D44" t="s">
        <v>84</v>
      </c>
      <c r="E44" t="s">
        <v>50</v>
      </c>
      <c r="F44" s="3">
        <v>836.43</v>
      </c>
      <c r="G44" t="s">
        <v>15</v>
      </c>
      <c r="I44" t="s">
        <v>40</v>
      </c>
      <c r="J44" t="s">
        <v>46</v>
      </c>
      <c r="K44" t="s">
        <v>47</v>
      </c>
    </row>
    <row r="45" spans="1:11" x14ac:dyDescent="0.3">
      <c r="A45" t="s">
        <v>123</v>
      </c>
      <c r="B45" s="2">
        <v>46272</v>
      </c>
      <c r="C45" t="s">
        <v>54</v>
      </c>
      <c r="D45" t="s">
        <v>29</v>
      </c>
      <c r="E45" t="s">
        <v>44</v>
      </c>
      <c r="F45" s="3">
        <v>249.57</v>
      </c>
      <c r="G45" t="s">
        <v>15</v>
      </c>
      <c r="I45" t="s">
        <v>65</v>
      </c>
      <c r="J45" t="s">
        <v>41</v>
      </c>
      <c r="K45" t="s">
        <v>18</v>
      </c>
    </row>
    <row r="46" spans="1:11" x14ac:dyDescent="0.3">
      <c r="A46" t="s">
        <v>124</v>
      </c>
      <c r="B46" s="2">
        <v>46280</v>
      </c>
      <c r="C46" t="s">
        <v>125</v>
      </c>
      <c r="D46" t="s">
        <v>36</v>
      </c>
      <c r="E46" t="s">
        <v>44</v>
      </c>
      <c r="F46" s="3">
        <v>1264.5</v>
      </c>
      <c r="G46" t="s">
        <v>15</v>
      </c>
      <c r="I46" t="s">
        <v>40</v>
      </c>
      <c r="J46" t="s">
        <v>17</v>
      </c>
      <c r="K46" t="s">
        <v>18</v>
      </c>
    </row>
    <row r="47" spans="1:11" x14ac:dyDescent="0.3">
      <c r="A47" t="s">
        <v>126</v>
      </c>
      <c r="B47" s="2">
        <v>46123</v>
      </c>
      <c r="C47" t="s">
        <v>127</v>
      </c>
      <c r="D47" t="s">
        <v>29</v>
      </c>
      <c r="E47" t="s">
        <v>50</v>
      </c>
      <c r="F47" s="3">
        <v>898.83</v>
      </c>
      <c r="G47" t="s">
        <v>15</v>
      </c>
      <c r="I47" t="s">
        <v>45</v>
      </c>
      <c r="J47" t="s">
        <v>41</v>
      </c>
      <c r="K47" t="s">
        <v>18</v>
      </c>
    </row>
    <row r="48" spans="1:11" x14ac:dyDescent="0.3">
      <c r="A48" t="s">
        <v>128</v>
      </c>
      <c r="B48" s="2">
        <v>46117</v>
      </c>
      <c r="C48" t="s">
        <v>129</v>
      </c>
      <c r="D48" t="s">
        <v>29</v>
      </c>
      <c r="E48" t="s">
        <v>50</v>
      </c>
      <c r="F48" s="3">
        <v>876.73</v>
      </c>
      <c r="G48" t="s">
        <v>15</v>
      </c>
      <c r="I48" t="s">
        <v>40</v>
      </c>
      <c r="J48" t="s">
        <v>17</v>
      </c>
      <c r="K48" t="s">
        <v>47</v>
      </c>
    </row>
    <row r="49" spans="1:11" x14ac:dyDescent="0.3">
      <c r="A49" t="s">
        <v>130</v>
      </c>
      <c r="B49" s="2">
        <v>46137</v>
      </c>
      <c r="C49" t="s">
        <v>87</v>
      </c>
      <c r="D49" t="s">
        <v>36</v>
      </c>
      <c r="E49" t="s">
        <v>22</v>
      </c>
      <c r="F49" s="3">
        <v>1103.8</v>
      </c>
      <c r="G49" t="s">
        <v>23</v>
      </c>
      <c r="H49" t="s">
        <v>131</v>
      </c>
      <c r="I49" t="s">
        <v>40</v>
      </c>
      <c r="J49" t="s">
        <v>41</v>
      </c>
      <c r="K49" t="s">
        <v>26</v>
      </c>
    </row>
    <row r="50" spans="1:11" x14ac:dyDescent="0.3">
      <c r="A50" t="s">
        <v>132</v>
      </c>
      <c r="B50" s="2">
        <v>46271</v>
      </c>
      <c r="C50" t="s">
        <v>133</v>
      </c>
      <c r="D50" t="s">
        <v>21</v>
      </c>
      <c r="E50" t="s">
        <v>50</v>
      </c>
      <c r="F50" s="3">
        <v>227.58</v>
      </c>
      <c r="G50" t="s">
        <v>15</v>
      </c>
      <c r="I50" t="s">
        <v>45</v>
      </c>
      <c r="J50" t="s">
        <v>41</v>
      </c>
      <c r="K50" t="s">
        <v>18</v>
      </c>
    </row>
    <row r="51" spans="1:11" x14ac:dyDescent="0.3">
      <c r="A51" t="s">
        <v>134</v>
      </c>
      <c r="B51" s="2">
        <v>46174</v>
      </c>
      <c r="C51" t="s">
        <v>135</v>
      </c>
      <c r="D51" t="s">
        <v>13</v>
      </c>
      <c r="E51" t="s">
        <v>39</v>
      </c>
      <c r="F51" s="3">
        <v>3402.45</v>
      </c>
      <c r="G51" t="s">
        <v>15</v>
      </c>
      <c r="I51" t="s">
        <v>33</v>
      </c>
      <c r="J51" t="s">
        <v>17</v>
      </c>
      <c r="K51" t="s">
        <v>26</v>
      </c>
    </row>
    <row r="52" spans="1:11" x14ac:dyDescent="0.3">
      <c r="A52" t="s">
        <v>136</v>
      </c>
      <c r="B52" s="2">
        <v>46295</v>
      </c>
      <c r="C52" t="s">
        <v>137</v>
      </c>
      <c r="D52" t="s">
        <v>13</v>
      </c>
      <c r="E52" t="s">
        <v>22</v>
      </c>
      <c r="F52" s="3">
        <v>939.73</v>
      </c>
      <c r="G52" t="s">
        <v>23</v>
      </c>
      <c r="H52" t="s">
        <v>138</v>
      </c>
      <c r="I52" t="s">
        <v>30</v>
      </c>
      <c r="J52" t="s">
        <v>17</v>
      </c>
      <c r="K52" t="s">
        <v>18</v>
      </c>
    </row>
    <row r="53" spans="1:11" x14ac:dyDescent="0.3">
      <c r="A53" t="s">
        <v>139</v>
      </c>
      <c r="B53" s="2">
        <v>46287</v>
      </c>
      <c r="C53" t="s">
        <v>140</v>
      </c>
      <c r="D53" t="s">
        <v>36</v>
      </c>
      <c r="E53" t="s">
        <v>22</v>
      </c>
      <c r="F53" s="3">
        <v>13774.38</v>
      </c>
      <c r="G53" t="s">
        <v>15</v>
      </c>
      <c r="I53" t="s">
        <v>30</v>
      </c>
      <c r="J53" t="s">
        <v>17</v>
      </c>
      <c r="K53" t="s">
        <v>18</v>
      </c>
    </row>
    <row r="54" spans="1:11" x14ac:dyDescent="0.3">
      <c r="A54" t="s">
        <v>141</v>
      </c>
      <c r="B54" s="2">
        <v>46047</v>
      </c>
      <c r="C54" t="s">
        <v>142</v>
      </c>
      <c r="D54" t="s">
        <v>29</v>
      </c>
      <c r="E54" t="s">
        <v>44</v>
      </c>
      <c r="F54" s="3">
        <v>407.32</v>
      </c>
      <c r="G54" t="s">
        <v>15</v>
      </c>
      <c r="I54" t="s">
        <v>16</v>
      </c>
      <c r="J54" t="s">
        <v>17</v>
      </c>
      <c r="K54" t="s">
        <v>18</v>
      </c>
    </row>
    <row r="55" spans="1:11" x14ac:dyDescent="0.3">
      <c r="A55" t="s">
        <v>143</v>
      </c>
      <c r="B55" s="2">
        <v>46144</v>
      </c>
      <c r="C55" t="s">
        <v>144</v>
      </c>
      <c r="D55" t="s">
        <v>13</v>
      </c>
      <c r="E55" t="s">
        <v>22</v>
      </c>
      <c r="F55" s="3">
        <v>1468.6</v>
      </c>
      <c r="G55" t="s">
        <v>15</v>
      </c>
      <c r="I55" t="s">
        <v>30</v>
      </c>
      <c r="J55" t="s">
        <v>41</v>
      </c>
      <c r="K55" t="s">
        <v>47</v>
      </c>
    </row>
    <row r="56" spans="1:11" x14ac:dyDescent="0.3">
      <c r="A56" t="s">
        <v>145</v>
      </c>
      <c r="B56" s="2">
        <v>46275</v>
      </c>
      <c r="C56" t="s">
        <v>146</v>
      </c>
      <c r="D56" t="s">
        <v>29</v>
      </c>
      <c r="E56" t="s">
        <v>22</v>
      </c>
      <c r="F56" s="3">
        <v>988.57</v>
      </c>
      <c r="G56" t="s">
        <v>15</v>
      </c>
      <c r="I56" t="s">
        <v>40</v>
      </c>
      <c r="J56" t="s">
        <v>46</v>
      </c>
      <c r="K56" t="s">
        <v>18</v>
      </c>
    </row>
    <row r="57" spans="1:11" x14ac:dyDescent="0.3">
      <c r="A57" t="s">
        <v>147</v>
      </c>
      <c r="B57" s="2">
        <v>46158</v>
      </c>
      <c r="C57" t="s">
        <v>148</v>
      </c>
      <c r="D57" t="s">
        <v>29</v>
      </c>
      <c r="E57" t="s">
        <v>22</v>
      </c>
      <c r="F57" s="3">
        <v>2915.19</v>
      </c>
      <c r="G57" t="s">
        <v>149</v>
      </c>
      <c r="I57" t="s">
        <v>25</v>
      </c>
      <c r="J57" t="s">
        <v>41</v>
      </c>
      <c r="K57" t="s">
        <v>47</v>
      </c>
    </row>
    <row r="58" spans="1:11" x14ac:dyDescent="0.3">
      <c r="A58" t="s">
        <v>150</v>
      </c>
      <c r="B58" s="2">
        <v>46092</v>
      </c>
      <c r="C58" t="s">
        <v>151</v>
      </c>
      <c r="D58" t="s">
        <v>21</v>
      </c>
      <c r="E58" t="s">
        <v>22</v>
      </c>
      <c r="F58" s="3">
        <v>1061.22</v>
      </c>
      <c r="G58" t="s">
        <v>15</v>
      </c>
      <c r="I58" t="s">
        <v>40</v>
      </c>
      <c r="J58" t="s">
        <v>46</v>
      </c>
      <c r="K58" t="s">
        <v>18</v>
      </c>
    </row>
    <row r="59" spans="1:11" x14ac:dyDescent="0.3">
      <c r="A59" t="s">
        <v>152</v>
      </c>
      <c r="B59" s="2">
        <v>46264</v>
      </c>
      <c r="C59" t="s">
        <v>56</v>
      </c>
      <c r="D59" t="s">
        <v>84</v>
      </c>
      <c r="E59" t="s">
        <v>22</v>
      </c>
      <c r="F59" s="3">
        <v>4844.8</v>
      </c>
      <c r="G59" t="s">
        <v>15</v>
      </c>
      <c r="I59" t="s">
        <v>33</v>
      </c>
      <c r="J59" t="s">
        <v>17</v>
      </c>
      <c r="K59" t="s">
        <v>18</v>
      </c>
    </row>
    <row r="60" spans="1:11" x14ac:dyDescent="0.3">
      <c r="A60" t="s">
        <v>153</v>
      </c>
      <c r="B60" s="2">
        <v>46212</v>
      </c>
      <c r="C60" t="s">
        <v>105</v>
      </c>
      <c r="D60" t="s">
        <v>29</v>
      </c>
      <c r="E60" t="s">
        <v>22</v>
      </c>
      <c r="F60" s="3">
        <v>794.83</v>
      </c>
      <c r="G60" t="s">
        <v>149</v>
      </c>
      <c r="I60" t="s">
        <v>25</v>
      </c>
      <c r="J60" t="s">
        <v>17</v>
      </c>
      <c r="K60" t="s">
        <v>47</v>
      </c>
    </row>
    <row r="61" spans="1:11" x14ac:dyDescent="0.3">
      <c r="A61" t="s">
        <v>154</v>
      </c>
      <c r="B61" s="2">
        <v>46171</v>
      </c>
      <c r="C61" t="s">
        <v>62</v>
      </c>
      <c r="D61" t="s">
        <v>13</v>
      </c>
      <c r="E61" t="s">
        <v>22</v>
      </c>
      <c r="F61" s="3">
        <v>189.75</v>
      </c>
      <c r="G61" t="s">
        <v>15</v>
      </c>
      <c r="I61" t="s">
        <v>30</v>
      </c>
      <c r="J61" t="s">
        <v>46</v>
      </c>
      <c r="K61" t="s">
        <v>18</v>
      </c>
    </row>
    <row r="62" spans="1:11" x14ac:dyDescent="0.3">
      <c r="A62" t="s">
        <v>155</v>
      </c>
      <c r="B62" s="2">
        <v>46069</v>
      </c>
      <c r="C62" t="s">
        <v>127</v>
      </c>
      <c r="D62" t="s">
        <v>13</v>
      </c>
      <c r="E62" t="s">
        <v>22</v>
      </c>
      <c r="F62" s="3">
        <v>3563.27</v>
      </c>
      <c r="G62" t="s">
        <v>15</v>
      </c>
      <c r="I62" t="s">
        <v>25</v>
      </c>
      <c r="J62" t="s">
        <v>17</v>
      </c>
      <c r="K62" t="s">
        <v>47</v>
      </c>
    </row>
    <row r="63" spans="1:11" x14ac:dyDescent="0.3">
      <c r="A63" t="s">
        <v>156</v>
      </c>
      <c r="B63" s="2">
        <v>46246</v>
      </c>
      <c r="C63" t="s">
        <v>157</v>
      </c>
      <c r="D63" t="s">
        <v>36</v>
      </c>
      <c r="E63" t="s">
        <v>22</v>
      </c>
      <c r="F63" s="3">
        <v>2463.9699999999998</v>
      </c>
      <c r="G63" t="s">
        <v>15</v>
      </c>
      <c r="I63" t="s">
        <v>65</v>
      </c>
      <c r="J63" t="s">
        <v>17</v>
      </c>
      <c r="K63" t="s">
        <v>18</v>
      </c>
    </row>
    <row r="64" spans="1:11" x14ac:dyDescent="0.3">
      <c r="A64" t="s">
        <v>158</v>
      </c>
      <c r="B64" s="2">
        <v>46158</v>
      </c>
      <c r="C64" t="s">
        <v>159</v>
      </c>
      <c r="D64" t="s">
        <v>29</v>
      </c>
      <c r="E64" t="s">
        <v>22</v>
      </c>
      <c r="F64" s="3">
        <v>2603.2800000000002</v>
      </c>
      <c r="G64" t="s">
        <v>15</v>
      </c>
      <c r="I64" t="s">
        <v>33</v>
      </c>
      <c r="J64" t="s">
        <v>46</v>
      </c>
      <c r="K64" t="s">
        <v>26</v>
      </c>
    </row>
    <row r="65" spans="1:11" x14ac:dyDescent="0.3">
      <c r="A65" t="s">
        <v>160</v>
      </c>
      <c r="B65" s="2">
        <v>46234</v>
      </c>
      <c r="C65" t="s">
        <v>161</v>
      </c>
      <c r="D65" t="s">
        <v>13</v>
      </c>
      <c r="E65" t="s">
        <v>50</v>
      </c>
      <c r="F65" s="3">
        <v>308.73</v>
      </c>
      <c r="G65" t="s">
        <v>23</v>
      </c>
      <c r="H65" t="s">
        <v>162</v>
      </c>
      <c r="I65" t="s">
        <v>100</v>
      </c>
      <c r="J65" t="s">
        <v>46</v>
      </c>
      <c r="K65" t="s">
        <v>47</v>
      </c>
    </row>
    <row r="66" spans="1:11" x14ac:dyDescent="0.3">
      <c r="A66" t="s">
        <v>163</v>
      </c>
      <c r="B66" s="2">
        <v>46032</v>
      </c>
      <c r="C66" t="s">
        <v>164</v>
      </c>
      <c r="D66" t="s">
        <v>29</v>
      </c>
      <c r="E66" t="s">
        <v>44</v>
      </c>
      <c r="F66" s="3">
        <v>2906.36</v>
      </c>
      <c r="G66" t="s">
        <v>23</v>
      </c>
      <c r="H66" t="s">
        <v>138</v>
      </c>
      <c r="I66" t="s">
        <v>30</v>
      </c>
      <c r="J66" t="s">
        <v>17</v>
      </c>
      <c r="K66" t="s">
        <v>18</v>
      </c>
    </row>
    <row r="67" spans="1:11" x14ac:dyDescent="0.3">
      <c r="A67" t="s">
        <v>165</v>
      </c>
      <c r="B67" s="2">
        <v>46120</v>
      </c>
      <c r="C67" t="s">
        <v>166</v>
      </c>
      <c r="D67" t="s">
        <v>29</v>
      </c>
      <c r="E67" t="s">
        <v>22</v>
      </c>
      <c r="F67" s="3">
        <v>844.04</v>
      </c>
      <c r="G67" t="s">
        <v>15</v>
      </c>
      <c r="I67" t="s">
        <v>100</v>
      </c>
      <c r="J67" t="s">
        <v>17</v>
      </c>
      <c r="K67" t="s">
        <v>47</v>
      </c>
    </row>
    <row r="68" spans="1:11" x14ac:dyDescent="0.3">
      <c r="A68" t="s">
        <v>167</v>
      </c>
      <c r="B68" s="2">
        <v>46155</v>
      </c>
      <c r="C68" t="s">
        <v>168</v>
      </c>
      <c r="D68" t="s">
        <v>13</v>
      </c>
      <c r="E68" t="s">
        <v>14</v>
      </c>
      <c r="F68" s="3">
        <v>1204.73</v>
      </c>
      <c r="G68" t="s">
        <v>15</v>
      </c>
      <c r="I68" t="s">
        <v>40</v>
      </c>
      <c r="J68" t="s">
        <v>41</v>
      </c>
      <c r="K68" t="s">
        <v>18</v>
      </c>
    </row>
    <row r="69" spans="1:11" x14ac:dyDescent="0.3">
      <c r="A69" t="s">
        <v>169</v>
      </c>
      <c r="B69" s="2">
        <v>46023</v>
      </c>
      <c r="C69" t="s">
        <v>170</v>
      </c>
      <c r="D69" t="s">
        <v>13</v>
      </c>
      <c r="E69" t="s">
        <v>44</v>
      </c>
      <c r="F69" s="3">
        <v>1243.04</v>
      </c>
      <c r="G69" t="s">
        <v>15</v>
      </c>
      <c r="I69" t="s">
        <v>33</v>
      </c>
      <c r="J69" t="s">
        <v>17</v>
      </c>
      <c r="K69" t="s">
        <v>26</v>
      </c>
    </row>
    <row r="70" spans="1:11" x14ac:dyDescent="0.3">
      <c r="A70" t="s">
        <v>171</v>
      </c>
      <c r="B70" s="2">
        <v>46117</v>
      </c>
      <c r="C70" t="s">
        <v>172</v>
      </c>
      <c r="D70" t="s">
        <v>21</v>
      </c>
      <c r="E70" t="s">
        <v>22</v>
      </c>
      <c r="F70" s="3">
        <v>1539.65</v>
      </c>
      <c r="G70" t="s">
        <v>23</v>
      </c>
      <c r="H70" t="s">
        <v>70</v>
      </c>
      <c r="I70" t="s">
        <v>30</v>
      </c>
      <c r="J70" t="s">
        <v>17</v>
      </c>
      <c r="K70" t="s">
        <v>47</v>
      </c>
    </row>
    <row r="71" spans="1:11" x14ac:dyDescent="0.3">
      <c r="A71" t="s">
        <v>173</v>
      </c>
      <c r="B71" s="2">
        <v>46273</v>
      </c>
      <c r="C71" t="s">
        <v>174</v>
      </c>
      <c r="D71" t="s">
        <v>13</v>
      </c>
      <c r="E71" t="s">
        <v>22</v>
      </c>
      <c r="F71" s="3">
        <v>684.52</v>
      </c>
      <c r="G71" t="s">
        <v>23</v>
      </c>
      <c r="H71" t="s">
        <v>131</v>
      </c>
      <c r="I71" t="s">
        <v>100</v>
      </c>
      <c r="J71" t="s">
        <v>17</v>
      </c>
      <c r="K71" t="s">
        <v>47</v>
      </c>
    </row>
    <row r="72" spans="1:11" x14ac:dyDescent="0.3">
      <c r="A72" t="s">
        <v>175</v>
      </c>
      <c r="B72" s="2">
        <v>46120</v>
      </c>
      <c r="C72" t="s">
        <v>54</v>
      </c>
      <c r="D72" t="s">
        <v>84</v>
      </c>
      <c r="E72" t="s">
        <v>22</v>
      </c>
      <c r="F72" s="3">
        <v>2225.1799999999998</v>
      </c>
      <c r="G72" t="s">
        <v>23</v>
      </c>
      <c r="H72" t="s">
        <v>70</v>
      </c>
      <c r="I72" t="s">
        <v>33</v>
      </c>
      <c r="J72" t="s">
        <v>17</v>
      </c>
      <c r="K72" t="s">
        <v>18</v>
      </c>
    </row>
    <row r="73" spans="1:11" x14ac:dyDescent="0.3">
      <c r="A73" t="s">
        <v>176</v>
      </c>
      <c r="B73" s="2">
        <v>46128</v>
      </c>
      <c r="C73" t="s">
        <v>177</v>
      </c>
      <c r="D73" t="s">
        <v>13</v>
      </c>
      <c r="E73" t="s">
        <v>39</v>
      </c>
      <c r="F73" s="3">
        <v>5593.81</v>
      </c>
      <c r="G73" t="s">
        <v>15</v>
      </c>
      <c r="I73" t="s">
        <v>100</v>
      </c>
      <c r="J73" t="s">
        <v>17</v>
      </c>
      <c r="K73" t="s">
        <v>47</v>
      </c>
    </row>
    <row r="74" spans="1:11" x14ac:dyDescent="0.3">
      <c r="A74" t="s">
        <v>178</v>
      </c>
      <c r="B74" s="2">
        <v>46091</v>
      </c>
      <c r="C74" t="s">
        <v>179</v>
      </c>
      <c r="D74" t="s">
        <v>21</v>
      </c>
      <c r="E74" t="s">
        <v>22</v>
      </c>
      <c r="F74" s="3">
        <v>1194.43</v>
      </c>
      <c r="G74" t="s">
        <v>15</v>
      </c>
      <c r="I74" t="s">
        <v>30</v>
      </c>
      <c r="J74" t="s">
        <v>17</v>
      </c>
      <c r="K74" t="s">
        <v>18</v>
      </c>
    </row>
    <row r="75" spans="1:11" x14ac:dyDescent="0.3">
      <c r="A75" t="s">
        <v>180</v>
      </c>
      <c r="B75" s="2">
        <v>46117</v>
      </c>
      <c r="C75" t="s">
        <v>181</v>
      </c>
      <c r="D75" t="s">
        <v>36</v>
      </c>
      <c r="E75" t="s">
        <v>22</v>
      </c>
      <c r="F75" s="3">
        <v>1623.62</v>
      </c>
      <c r="G75" t="s">
        <v>23</v>
      </c>
      <c r="H75" t="s">
        <v>138</v>
      </c>
      <c r="I75" t="s">
        <v>65</v>
      </c>
      <c r="J75" t="s">
        <v>41</v>
      </c>
      <c r="K75" t="s">
        <v>18</v>
      </c>
    </row>
    <row r="76" spans="1:11" x14ac:dyDescent="0.3">
      <c r="A76" t="s">
        <v>182</v>
      </c>
      <c r="B76" s="2">
        <v>46182</v>
      </c>
      <c r="C76" t="s">
        <v>56</v>
      </c>
      <c r="D76" t="s">
        <v>13</v>
      </c>
      <c r="E76" t="s">
        <v>22</v>
      </c>
      <c r="F76" s="3">
        <v>858.39</v>
      </c>
      <c r="G76" t="s">
        <v>15</v>
      </c>
      <c r="I76" t="s">
        <v>40</v>
      </c>
      <c r="J76" t="s">
        <v>17</v>
      </c>
      <c r="K76" t="s">
        <v>18</v>
      </c>
    </row>
    <row r="77" spans="1:11" x14ac:dyDescent="0.3">
      <c r="A77" t="s">
        <v>183</v>
      </c>
      <c r="B77" s="2">
        <v>46155</v>
      </c>
      <c r="C77" t="s">
        <v>184</v>
      </c>
      <c r="D77" t="s">
        <v>84</v>
      </c>
      <c r="E77" t="s">
        <v>22</v>
      </c>
      <c r="F77" s="3">
        <v>839.93</v>
      </c>
      <c r="G77" t="s">
        <v>15</v>
      </c>
      <c r="I77" t="s">
        <v>25</v>
      </c>
      <c r="J77" t="s">
        <v>17</v>
      </c>
      <c r="K77" t="s">
        <v>18</v>
      </c>
    </row>
    <row r="78" spans="1:11" x14ac:dyDescent="0.3">
      <c r="A78" t="s">
        <v>185</v>
      </c>
      <c r="B78" s="2">
        <v>46271</v>
      </c>
      <c r="C78" t="s">
        <v>186</v>
      </c>
      <c r="D78" t="s">
        <v>21</v>
      </c>
      <c r="E78" t="s">
        <v>22</v>
      </c>
      <c r="F78" s="3">
        <v>5235.76</v>
      </c>
      <c r="G78" t="s">
        <v>23</v>
      </c>
      <c r="H78" t="s">
        <v>81</v>
      </c>
      <c r="I78" t="s">
        <v>16</v>
      </c>
      <c r="J78" t="s">
        <v>17</v>
      </c>
      <c r="K78" t="s">
        <v>18</v>
      </c>
    </row>
    <row r="79" spans="1:11" x14ac:dyDescent="0.3">
      <c r="A79" t="s">
        <v>187</v>
      </c>
      <c r="B79" s="2">
        <v>46275</v>
      </c>
      <c r="C79" t="s">
        <v>188</v>
      </c>
      <c r="D79" t="s">
        <v>84</v>
      </c>
      <c r="E79" t="s">
        <v>44</v>
      </c>
      <c r="F79" s="3">
        <v>1035</v>
      </c>
      <c r="G79" t="s">
        <v>15</v>
      </c>
      <c r="I79" t="s">
        <v>33</v>
      </c>
      <c r="J79" t="s">
        <v>17</v>
      </c>
      <c r="K79" t="s">
        <v>18</v>
      </c>
    </row>
    <row r="80" spans="1:11" x14ac:dyDescent="0.3">
      <c r="A80" t="s">
        <v>189</v>
      </c>
      <c r="B80" s="2">
        <v>46209</v>
      </c>
      <c r="C80" t="s">
        <v>190</v>
      </c>
      <c r="D80" t="s">
        <v>21</v>
      </c>
      <c r="E80" t="s">
        <v>39</v>
      </c>
      <c r="F80" s="3">
        <v>2272.48</v>
      </c>
      <c r="G80" t="s">
        <v>15</v>
      </c>
      <c r="I80" t="s">
        <v>16</v>
      </c>
      <c r="J80" t="s">
        <v>17</v>
      </c>
      <c r="K80" t="s">
        <v>47</v>
      </c>
    </row>
    <row r="81" spans="1:11" x14ac:dyDescent="0.3">
      <c r="A81" t="s">
        <v>191</v>
      </c>
      <c r="B81" s="2">
        <v>46037</v>
      </c>
      <c r="C81" t="s">
        <v>120</v>
      </c>
      <c r="D81" t="s">
        <v>13</v>
      </c>
      <c r="E81" t="s">
        <v>22</v>
      </c>
      <c r="F81" s="3">
        <v>571.99</v>
      </c>
      <c r="G81" t="s">
        <v>15</v>
      </c>
      <c r="I81" t="s">
        <v>33</v>
      </c>
      <c r="J81" t="s">
        <v>17</v>
      </c>
      <c r="K81" t="s">
        <v>18</v>
      </c>
    </row>
    <row r="82" spans="1:11" x14ac:dyDescent="0.3">
      <c r="A82" t="s">
        <v>192</v>
      </c>
      <c r="B82" s="2">
        <v>46148</v>
      </c>
      <c r="C82" t="s">
        <v>193</v>
      </c>
      <c r="D82" t="s">
        <v>13</v>
      </c>
      <c r="E82" t="s">
        <v>14</v>
      </c>
      <c r="F82" s="3">
        <v>4253.2299999999996</v>
      </c>
      <c r="G82" t="s">
        <v>15</v>
      </c>
      <c r="I82" t="s">
        <v>40</v>
      </c>
      <c r="J82" t="s">
        <v>17</v>
      </c>
      <c r="K82" t="s">
        <v>18</v>
      </c>
    </row>
    <row r="83" spans="1:11" x14ac:dyDescent="0.3">
      <c r="A83" t="s">
        <v>194</v>
      </c>
      <c r="B83" s="2">
        <v>46258</v>
      </c>
      <c r="C83" t="s">
        <v>195</v>
      </c>
      <c r="D83" t="s">
        <v>29</v>
      </c>
      <c r="E83" t="s">
        <v>22</v>
      </c>
      <c r="F83" s="3">
        <v>2324.61</v>
      </c>
      <c r="G83" t="s">
        <v>15</v>
      </c>
      <c r="I83" t="s">
        <v>100</v>
      </c>
      <c r="J83" t="s">
        <v>17</v>
      </c>
      <c r="K83" t="s">
        <v>26</v>
      </c>
    </row>
    <row r="84" spans="1:11" x14ac:dyDescent="0.3">
      <c r="A84" t="s">
        <v>196</v>
      </c>
      <c r="B84" s="2">
        <v>46251</v>
      </c>
      <c r="C84" t="s">
        <v>197</v>
      </c>
      <c r="D84" t="s">
        <v>21</v>
      </c>
      <c r="E84" t="s">
        <v>22</v>
      </c>
      <c r="F84" s="3">
        <v>755.41</v>
      </c>
      <c r="G84" t="s">
        <v>23</v>
      </c>
      <c r="H84" t="s">
        <v>198</v>
      </c>
      <c r="I84" t="s">
        <v>25</v>
      </c>
      <c r="J84" t="s">
        <v>17</v>
      </c>
      <c r="K84" t="s">
        <v>18</v>
      </c>
    </row>
    <row r="85" spans="1:11" x14ac:dyDescent="0.3">
      <c r="A85" t="s">
        <v>199</v>
      </c>
      <c r="B85" s="2">
        <v>46265</v>
      </c>
      <c r="C85" t="s">
        <v>200</v>
      </c>
      <c r="D85" t="s">
        <v>13</v>
      </c>
      <c r="E85" t="s">
        <v>22</v>
      </c>
      <c r="F85" s="3">
        <v>466.82</v>
      </c>
      <c r="G85" t="s">
        <v>15</v>
      </c>
      <c r="I85" t="s">
        <v>33</v>
      </c>
      <c r="J85" t="s">
        <v>46</v>
      </c>
      <c r="K85" t="s">
        <v>47</v>
      </c>
    </row>
    <row r="86" spans="1:11" x14ac:dyDescent="0.3">
      <c r="A86" t="s">
        <v>201</v>
      </c>
      <c r="B86" s="2">
        <v>46026</v>
      </c>
      <c r="C86" t="s">
        <v>202</v>
      </c>
      <c r="D86" t="s">
        <v>84</v>
      </c>
      <c r="E86" t="s">
        <v>39</v>
      </c>
      <c r="F86" s="3">
        <v>4612.1499999999996</v>
      </c>
      <c r="G86" t="s">
        <v>15</v>
      </c>
      <c r="I86" t="s">
        <v>16</v>
      </c>
      <c r="J86" t="s">
        <v>17</v>
      </c>
      <c r="K86" t="s">
        <v>18</v>
      </c>
    </row>
    <row r="87" spans="1:11" x14ac:dyDescent="0.3">
      <c r="A87" t="s">
        <v>203</v>
      </c>
      <c r="B87" s="2">
        <v>46140</v>
      </c>
      <c r="C87" t="s">
        <v>204</v>
      </c>
      <c r="D87" t="s">
        <v>36</v>
      </c>
      <c r="E87" t="s">
        <v>14</v>
      </c>
      <c r="F87" s="3">
        <v>1134.78</v>
      </c>
      <c r="G87" t="s">
        <v>15</v>
      </c>
      <c r="I87" t="s">
        <v>45</v>
      </c>
      <c r="J87" t="s">
        <v>41</v>
      </c>
      <c r="K87" t="s">
        <v>18</v>
      </c>
    </row>
    <row r="88" spans="1:11" x14ac:dyDescent="0.3">
      <c r="A88" t="s">
        <v>205</v>
      </c>
      <c r="B88" s="2">
        <v>46060</v>
      </c>
      <c r="C88" t="s">
        <v>102</v>
      </c>
      <c r="D88" t="s">
        <v>21</v>
      </c>
      <c r="E88" t="s">
        <v>22</v>
      </c>
      <c r="F88" s="3">
        <v>510.67</v>
      </c>
      <c r="G88" t="s">
        <v>15</v>
      </c>
      <c r="I88" t="s">
        <v>30</v>
      </c>
      <c r="J88" t="s">
        <v>17</v>
      </c>
      <c r="K88" t="s">
        <v>18</v>
      </c>
    </row>
    <row r="89" spans="1:11" x14ac:dyDescent="0.3">
      <c r="A89" t="s">
        <v>206</v>
      </c>
      <c r="B89" s="2">
        <v>46160</v>
      </c>
      <c r="C89" t="s">
        <v>95</v>
      </c>
      <c r="D89" t="s">
        <v>13</v>
      </c>
      <c r="E89" t="s">
        <v>44</v>
      </c>
      <c r="F89" s="3">
        <v>1466.87</v>
      </c>
      <c r="G89" t="s">
        <v>15</v>
      </c>
      <c r="I89" t="s">
        <v>65</v>
      </c>
      <c r="J89" t="s">
        <v>41</v>
      </c>
      <c r="K89" t="s">
        <v>18</v>
      </c>
    </row>
    <row r="90" spans="1:11" x14ac:dyDescent="0.3">
      <c r="A90" t="s">
        <v>207</v>
      </c>
      <c r="B90" s="2">
        <v>46287</v>
      </c>
      <c r="C90" t="s">
        <v>208</v>
      </c>
      <c r="D90" t="s">
        <v>29</v>
      </c>
      <c r="E90" t="s">
        <v>22</v>
      </c>
      <c r="F90" s="3">
        <v>697.55</v>
      </c>
      <c r="G90" t="s">
        <v>15</v>
      </c>
      <c r="I90" t="s">
        <v>100</v>
      </c>
      <c r="J90" t="s">
        <v>41</v>
      </c>
      <c r="K90" t="s">
        <v>47</v>
      </c>
    </row>
    <row r="91" spans="1:11" x14ac:dyDescent="0.3">
      <c r="A91" t="s">
        <v>209</v>
      </c>
      <c r="B91" s="2">
        <v>46159</v>
      </c>
      <c r="C91" t="s">
        <v>181</v>
      </c>
      <c r="D91" t="s">
        <v>21</v>
      </c>
      <c r="E91" t="s">
        <v>22</v>
      </c>
      <c r="F91" s="3">
        <v>7446.23</v>
      </c>
      <c r="G91" t="s">
        <v>15</v>
      </c>
      <c r="I91" t="s">
        <v>30</v>
      </c>
      <c r="J91" t="s">
        <v>46</v>
      </c>
      <c r="K91" t="s">
        <v>26</v>
      </c>
    </row>
    <row r="92" spans="1:11" x14ac:dyDescent="0.3">
      <c r="A92" t="s">
        <v>210</v>
      </c>
      <c r="B92" s="2">
        <v>46289</v>
      </c>
      <c r="C92" t="s">
        <v>148</v>
      </c>
      <c r="D92" t="s">
        <v>13</v>
      </c>
      <c r="E92" t="s">
        <v>22</v>
      </c>
      <c r="F92" s="3">
        <v>768.31</v>
      </c>
      <c r="G92" t="s">
        <v>15</v>
      </c>
      <c r="I92" t="s">
        <v>100</v>
      </c>
      <c r="J92" t="s">
        <v>41</v>
      </c>
      <c r="K92" t="s">
        <v>26</v>
      </c>
    </row>
    <row r="93" spans="1:11" x14ac:dyDescent="0.3">
      <c r="A93" t="s">
        <v>211</v>
      </c>
      <c r="B93" s="2">
        <v>46111</v>
      </c>
      <c r="C93" t="s">
        <v>58</v>
      </c>
      <c r="D93" t="s">
        <v>29</v>
      </c>
      <c r="E93" t="s">
        <v>39</v>
      </c>
      <c r="F93" s="3">
        <v>1865.57</v>
      </c>
      <c r="G93" t="s">
        <v>15</v>
      </c>
      <c r="I93" t="s">
        <v>40</v>
      </c>
      <c r="J93" t="s">
        <v>41</v>
      </c>
      <c r="K93" t="s">
        <v>18</v>
      </c>
    </row>
    <row r="94" spans="1:11" x14ac:dyDescent="0.3">
      <c r="A94" t="s">
        <v>212</v>
      </c>
      <c r="B94" s="2">
        <v>46147</v>
      </c>
      <c r="C94" t="s">
        <v>213</v>
      </c>
      <c r="D94" t="s">
        <v>29</v>
      </c>
      <c r="E94" t="s">
        <v>22</v>
      </c>
      <c r="F94" s="3">
        <v>2640.63</v>
      </c>
      <c r="G94" t="s">
        <v>15</v>
      </c>
      <c r="I94" t="s">
        <v>45</v>
      </c>
      <c r="J94" t="s">
        <v>46</v>
      </c>
      <c r="K94" t="s">
        <v>18</v>
      </c>
    </row>
    <row r="95" spans="1:11" x14ac:dyDescent="0.3">
      <c r="A95" t="s">
        <v>214</v>
      </c>
      <c r="B95" s="2">
        <v>46126</v>
      </c>
      <c r="C95" t="s">
        <v>20</v>
      </c>
      <c r="D95" t="s">
        <v>21</v>
      </c>
      <c r="E95" t="s">
        <v>50</v>
      </c>
      <c r="F95" s="3">
        <v>637.41</v>
      </c>
      <c r="G95" t="s">
        <v>15</v>
      </c>
      <c r="I95" t="s">
        <v>25</v>
      </c>
      <c r="J95" t="s">
        <v>46</v>
      </c>
      <c r="K95" t="s">
        <v>26</v>
      </c>
    </row>
    <row r="96" spans="1:11" x14ac:dyDescent="0.3">
      <c r="A96" t="s">
        <v>215</v>
      </c>
      <c r="B96" s="2">
        <v>46037</v>
      </c>
      <c r="C96" t="s">
        <v>216</v>
      </c>
      <c r="D96" t="s">
        <v>21</v>
      </c>
      <c r="E96" t="s">
        <v>14</v>
      </c>
      <c r="F96" s="3">
        <v>1188.58</v>
      </c>
      <c r="G96" t="s">
        <v>15</v>
      </c>
      <c r="I96" t="s">
        <v>33</v>
      </c>
      <c r="J96" t="s">
        <v>46</v>
      </c>
      <c r="K96" t="s">
        <v>26</v>
      </c>
    </row>
    <row r="97" spans="1:11" x14ac:dyDescent="0.3">
      <c r="A97" t="s">
        <v>217</v>
      </c>
      <c r="B97" s="2">
        <v>46276</v>
      </c>
      <c r="C97" t="s">
        <v>151</v>
      </c>
      <c r="D97" t="s">
        <v>84</v>
      </c>
      <c r="E97" t="s">
        <v>22</v>
      </c>
      <c r="F97" s="3">
        <v>2646.18</v>
      </c>
      <c r="G97" t="s">
        <v>15</v>
      </c>
      <c r="I97" t="s">
        <v>40</v>
      </c>
      <c r="J97" t="s">
        <v>17</v>
      </c>
      <c r="K97" t="s">
        <v>26</v>
      </c>
    </row>
    <row r="98" spans="1:11" x14ac:dyDescent="0.3">
      <c r="A98" t="s">
        <v>218</v>
      </c>
      <c r="B98" s="2">
        <v>46181</v>
      </c>
      <c r="C98" t="s">
        <v>219</v>
      </c>
      <c r="D98" t="s">
        <v>13</v>
      </c>
      <c r="E98" t="s">
        <v>50</v>
      </c>
      <c r="F98" s="3">
        <v>668.81</v>
      </c>
      <c r="G98" t="s">
        <v>15</v>
      </c>
      <c r="I98" t="s">
        <v>65</v>
      </c>
      <c r="J98" t="s">
        <v>17</v>
      </c>
      <c r="K98" t="s">
        <v>18</v>
      </c>
    </row>
    <row r="99" spans="1:11" x14ac:dyDescent="0.3">
      <c r="A99" t="s">
        <v>220</v>
      </c>
      <c r="B99" s="2">
        <v>46117</v>
      </c>
      <c r="C99" t="s">
        <v>221</v>
      </c>
      <c r="D99" t="s">
        <v>36</v>
      </c>
      <c r="E99" t="s">
        <v>50</v>
      </c>
      <c r="F99" s="3">
        <v>231.06</v>
      </c>
      <c r="G99" t="s">
        <v>15</v>
      </c>
      <c r="I99" t="s">
        <v>33</v>
      </c>
      <c r="J99" t="s">
        <v>41</v>
      </c>
      <c r="K99" t="s">
        <v>26</v>
      </c>
    </row>
    <row r="100" spans="1:11" x14ac:dyDescent="0.3">
      <c r="A100" t="s">
        <v>222</v>
      </c>
      <c r="B100" s="2">
        <v>46060</v>
      </c>
      <c r="C100" t="s">
        <v>64</v>
      </c>
      <c r="D100" t="s">
        <v>21</v>
      </c>
      <c r="E100" t="s">
        <v>22</v>
      </c>
      <c r="F100" s="3">
        <v>884.36</v>
      </c>
      <c r="G100" t="s">
        <v>15</v>
      </c>
      <c r="I100" t="s">
        <v>33</v>
      </c>
      <c r="J100" t="s">
        <v>46</v>
      </c>
      <c r="K100" t="s">
        <v>18</v>
      </c>
    </row>
    <row r="101" spans="1:11" x14ac:dyDescent="0.3">
      <c r="A101" t="s">
        <v>223</v>
      </c>
      <c r="B101" s="2">
        <v>46133</v>
      </c>
      <c r="C101" t="s">
        <v>224</v>
      </c>
      <c r="D101" t="s">
        <v>21</v>
      </c>
      <c r="E101" t="s">
        <v>14</v>
      </c>
      <c r="F101" s="3">
        <v>403.8</v>
      </c>
      <c r="G101" t="s">
        <v>15</v>
      </c>
      <c r="I101" t="s">
        <v>33</v>
      </c>
      <c r="J101" t="s">
        <v>17</v>
      </c>
      <c r="K101" t="s">
        <v>47</v>
      </c>
    </row>
    <row r="102" spans="1:11" x14ac:dyDescent="0.3">
      <c r="A102" t="s">
        <v>225</v>
      </c>
      <c r="B102" s="2">
        <v>46149</v>
      </c>
      <c r="C102" t="s">
        <v>226</v>
      </c>
      <c r="D102" t="s">
        <v>21</v>
      </c>
      <c r="E102" t="s">
        <v>50</v>
      </c>
      <c r="F102" s="3">
        <v>1447.74</v>
      </c>
      <c r="G102" t="s">
        <v>23</v>
      </c>
      <c r="H102" t="s">
        <v>81</v>
      </c>
      <c r="I102" t="s">
        <v>100</v>
      </c>
      <c r="J102" t="s">
        <v>17</v>
      </c>
      <c r="K102" t="s">
        <v>47</v>
      </c>
    </row>
    <row r="103" spans="1:11" x14ac:dyDescent="0.3">
      <c r="A103" t="s">
        <v>227</v>
      </c>
      <c r="B103" s="2">
        <v>46123</v>
      </c>
      <c r="C103" t="s">
        <v>190</v>
      </c>
      <c r="D103" t="s">
        <v>36</v>
      </c>
      <c r="E103" t="s">
        <v>44</v>
      </c>
      <c r="F103" s="3">
        <v>510.43</v>
      </c>
      <c r="G103" t="s">
        <v>15</v>
      </c>
      <c r="I103" t="s">
        <v>25</v>
      </c>
      <c r="J103" t="s">
        <v>41</v>
      </c>
      <c r="K103" t="s">
        <v>18</v>
      </c>
    </row>
    <row r="104" spans="1:11" x14ac:dyDescent="0.3">
      <c r="A104" t="s">
        <v>228</v>
      </c>
      <c r="B104" s="2">
        <v>46171</v>
      </c>
      <c r="C104" t="s">
        <v>157</v>
      </c>
      <c r="D104" t="s">
        <v>29</v>
      </c>
      <c r="E104" t="s">
        <v>22</v>
      </c>
      <c r="F104" s="3">
        <v>3421.9</v>
      </c>
      <c r="G104" t="s">
        <v>15</v>
      </c>
      <c r="I104" t="s">
        <v>100</v>
      </c>
      <c r="J104" t="s">
        <v>17</v>
      </c>
      <c r="K104" t="s">
        <v>18</v>
      </c>
    </row>
    <row r="105" spans="1:11" x14ac:dyDescent="0.3">
      <c r="A105" t="s">
        <v>229</v>
      </c>
      <c r="B105" s="2">
        <v>46097</v>
      </c>
      <c r="C105" t="s">
        <v>230</v>
      </c>
      <c r="D105" t="s">
        <v>84</v>
      </c>
      <c r="E105" t="s">
        <v>44</v>
      </c>
      <c r="F105" s="3">
        <v>715</v>
      </c>
      <c r="G105" t="s">
        <v>15</v>
      </c>
      <c r="I105" t="s">
        <v>30</v>
      </c>
      <c r="J105" t="s">
        <v>41</v>
      </c>
      <c r="K105" t="s">
        <v>18</v>
      </c>
    </row>
    <row r="106" spans="1:11" x14ac:dyDescent="0.3">
      <c r="A106" t="s">
        <v>231</v>
      </c>
      <c r="B106" s="2">
        <v>46273</v>
      </c>
      <c r="C106" t="s">
        <v>232</v>
      </c>
      <c r="D106" t="s">
        <v>13</v>
      </c>
      <c r="E106" t="s">
        <v>22</v>
      </c>
      <c r="F106" s="3">
        <v>998.02</v>
      </c>
      <c r="G106" t="s">
        <v>15</v>
      </c>
      <c r="I106" t="s">
        <v>65</v>
      </c>
      <c r="J106" t="s">
        <v>17</v>
      </c>
      <c r="K106" t="s">
        <v>26</v>
      </c>
    </row>
    <row r="107" spans="1:11" x14ac:dyDescent="0.3">
      <c r="A107" t="s">
        <v>233</v>
      </c>
      <c r="B107" s="2">
        <v>46178</v>
      </c>
      <c r="C107" t="s">
        <v>234</v>
      </c>
      <c r="D107" t="s">
        <v>29</v>
      </c>
      <c r="E107" t="s">
        <v>22</v>
      </c>
      <c r="F107" s="3">
        <v>978.02</v>
      </c>
      <c r="G107" t="s">
        <v>15</v>
      </c>
      <c r="I107" t="s">
        <v>16</v>
      </c>
      <c r="J107" t="s">
        <v>46</v>
      </c>
      <c r="K107" t="s">
        <v>18</v>
      </c>
    </row>
    <row r="108" spans="1:11" x14ac:dyDescent="0.3">
      <c r="A108" t="s">
        <v>235</v>
      </c>
      <c r="B108" s="2">
        <v>46085</v>
      </c>
      <c r="C108" t="s">
        <v>60</v>
      </c>
      <c r="D108" t="s">
        <v>13</v>
      </c>
      <c r="E108" t="s">
        <v>50</v>
      </c>
      <c r="F108" s="3">
        <v>1200.6300000000001</v>
      </c>
      <c r="G108" t="s">
        <v>23</v>
      </c>
      <c r="H108" t="s">
        <v>70</v>
      </c>
      <c r="I108" t="s">
        <v>25</v>
      </c>
      <c r="J108" t="s">
        <v>41</v>
      </c>
      <c r="K108" t="s">
        <v>18</v>
      </c>
    </row>
    <row r="109" spans="1:11" x14ac:dyDescent="0.3">
      <c r="A109" t="s">
        <v>236</v>
      </c>
      <c r="B109" s="2">
        <v>46166</v>
      </c>
      <c r="C109" t="s">
        <v>237</v>
      </c>
      <c r="D109" t="s">
        <v>84</v>
      </c>
      <c r="E109" t="s">
        <v>50</v>
      </c>
      <c r="F109" s="3">
        <v>1351.23</v>
      </c>
      <c r="G109" t="s">
        <v>15</v>
      </c>
      <c r="I109" t="s">
        <v>45</v>
      </c>
      <c r="J109" t="s">
        <v>41</v>
      </c>
      <c r="K109" t="s">
        <v>18</v>
      </c>
    </row>
    <row r="110" spans="1:11" x14ac:dyDescent="0.3">
      <c r="A110" t="s">
        <v>238</v>
      </c>
      <c r="B110" s="2">
        <v>46135</v>
      </c>
      <c r="C110" t="s">
        <v>239</v>
      </c>
      <c r="D110" t="s">
        <v>29</v>
      </c>
      <c r="E110" t="s">
        <v>22</v>
      </c>
      <c r="F110" s="3">
        <v>3055.32</v>
      </c>
      <c r="G110" t="s">
        <v>15</v>
      </c>
      <c r="I110" t="s">
        <v>65</v>
      </c>
      <c r="J110" t="s">
        <v>46</v>
      </c>
      <c r="K110" t="s">
        <v>47</v>
      </c>
    </row>
    <row r="111" spans="1:11" x14ac:dyDescent="0.3">
      <c r="A111" t="s">
        <v>240</v>
      </c>
      <c r="B111" s="2">
        <v>46184</v>
      </c>
      <c r="C111" t="s">
        <v>54</v>
      </c>
      <c r="D111" t="s">
        <v>36</v>
      </c>
      <c r="E111" t="s">
        <v>22</v>
      </c>
      <c r="F111" s="3">
        <v>253.42</v>
      </c>
      <c r="G111" t="s">
        <v>15</v>
      </c>
      <c r="I111" t="s">
        <v>65</v>
      </c>
      <c r="J111" t="s">
        <v>41</v>
      </c>
      <c r="K111" t="s">
        <v>26</v>
      </c>
    </row>
    <row r="112" spans="1:11" x14ac:dyDescent="0.3">
      <c r="A112" t="s">
        <v>241</v>
      </c>
      <c r="B112" s="2">
        <v>46277</v>
      </c>
      <c r="C112" t="s">
        <v>242</v>
      </c>
      <c r="D112" t="s">
        <v>84</v>
      </c>
      <c r="E112" t="s">
        <v>50</v>
      </c>
      <c r="F112" s="3">
        <v>809.72</v>
      </c>
      <c r="G112" t="s">
        <v>15</v>
      </c>
      <c r="I112" t="s">
        <v>30</v>
      </c>
      <c r="J112" t="s">
        <v>17</v>
      </c>
      <c r="K112" t="s">
        <v>26</v>
      </c>
    </row>
    <row r="113" spans="1:11" x14ac:dyDescent="0.3">
      <c r="A113" t="s">
        <v>243</v>
      </c>
      <c r="B113" s="2">
        <v>46187</v>
      </c>
      <c r="C113" t="s">
        <v>244</v>
      </c>
      <c r="D113" t="s">
        <v>84</v>
      </c>
      <c r="E113" t="s">
        <v>22</v>
      </c>
      <c r="F113" s="3">
        <v>1732.13</v>
      </c>
      <c r="G113" t="s">
        <v>15</v>
      </c>
      <c r="I113" t="s">
        <v>16</v>
      </c>
      <c r="J113" t="s">
        <v>17</v>
      </c>
      <c r="K113" t="s">
        <v>26</v>
      </c>
    </row>
    <row r="114" spans="1:11" x14ac:dyDescent="0.3">
      <c r="A114" t="s">
        <v>245</v>
      </c>
      <c r="B114" s="2">
        <v>46058</v>
      </c>
      <c r="C114" t="s">
        <v>246</v>
      </c>
      <c r="D114" t="s">
        <v>13</v>
      </c>
      <c r="E114" t="s">
        <v>39</v>
      </c>
      <c r="F114" s="3">
        <v>3346.28</v>
      </c>
      <c r="G114" t="s">
        <v>15</v>
      </c>
      <c r="I114" t="s">
        <v>33</v>
      </c>
      <c r="J114" t="s">
        <v>17</v>
      </c>
      <c r="K114" t="s">
        <v>47</v>
      </c>
    </row>
    <row r="115" spans="1:11" x14ac:dyDescent="0.3">
      <c r="A115" t="s">
        <v>247</v>
      </c>
      <c r="B115" s="2">
        <v>46042</v>
      </c>
      <c r="C115" t="s">
        <v>230</v>
      </c>
      <c r="D115" t="s">
        <v>29</v>
      </c>
      <c r="E115" t="s">
        <v>50</v>
      </c>
      <c r="F115" s="3">
        <v>2462.09</v>
      </c>
      <c r="G115" t="s">
        <v>149</v>
      </c>
      <c r="I115" t="s">
        <v>40</v>
      </c>
      <c r="J115" t="s">
        <v>46</v>
      </c>
      <c r="K115" t="s">
        <v>18</v>
      </c>
    </row>
    <row r="116" spans="1:11" x14ac:dyDescent="0.3">
      <c r="A116" t="s">
        <v>248</v>
      </c>
      <c r="B116" s="2">
        <v>46103</v>
      </c>
      <c r="C116" t="s">
        <v>249</v>
      </c>
      <c r="D116" t="s">
        <v>29</v>
      </c>
      <c r="E116" t="s">
        <v>39</v>
      </c>
      <c r="F116" s="3">
        <v>1166.5999999999999</v>
      </c>
      <c r="G116" t="s">
        <v>15</v>
      </c>
      <c r="I116" t="s">
        <v>40</v>
      </c>
      <c r="J116" t="s">
        <v>17</v>
      </c>
      <c r="K116" t="s">
        <v>18</v>
      </c>
    </row>
    <row r="117" spans="1:11" x14ac:dyDescent="0.3">
      <c r="A117" t="s">
        <v>250</v>
      </c>
      <c r="B117" s="2">
        <v>46223</v>
      </c>
      <c r="C117" t="s">
        <v>107</v>
      </c>
      <c r="D117" t="s">
        <v>21</v>
      </c>
      <c r="E117" t="s">
        <v>22</v>
      </c>
      <c r="F117" s="3">
        <v>2745.05</v>
      </c>
      <c r="G117" t="s">
        <v>15</v>
      </c>
      <c r="I117" t="s">
        <v>25</v>
      </c>
      <c r="J117" t="s">
        <v>46</v>
      </c>
      <c r="K117" t="s">
        <v>18</v>
      </c>
    </row>
    <row r="118" spans="1:11" x14ac:dyDescent="0.3">
      <c r="A118" t="s">
        <v>251</v>
      </c>
      <c r="B118" s="2">
        <v>46097</v>
      </c>
      <c r="C118" t="s">
        <v>137</v>
      </c>
      <c r="D118" t="s">
        <v>29</v>
      </c>
      <c r="E118" t="s">
        <v>39</v>
      </c>
      <c r="F118" s="3">
        <v>1313.65</v>
      </c>
      <c r="G118" t="s">
        <v>15</v>
      </c>
      <c r="I118" t="s">
        <v>25</v>
      </c>
      <c r="J118" t="s">
        <v>17</v>
      </c>
      <c r="K118" t="s">
        <v>18</v>
      </c>
    </row>
    <row r="119" spans="1:11" x14ac:dyDescent="0.3">
      <c r="A119" t="s">
        <v>252</v>
      </c>
      <c r="B119" s="2">
        <v>46109</v>
      </c>
      <c r="C119" t="s">
        <v>127</v>
      </c>
      <c r="D119" t="s">
        <v>13</v>
      </c>
      <c r="E119" t="s">
        <v>22</v>
      </c>
      <c r="F119" s="3">
        <v>3210.38</v>
      </c>
      <c r="G119" t="s">
        <v>15</v>
      </c>
      <c r="I119" t="s">
        <v>30</v>
      </c>
      <c r="J119" t="s">
        <v>46</v>
      </c>
      <c r="K119" t="s">
        <v>47</v>
      </c>
    </row>
    <row r="120" spans="1:11" x14ac:dyDescent="0.3">
      <c r="A120" t="s">
        <v>253</v>
      </c>
      <c r="B120" s="2">
        <v>46259</v>
      </c>
      <c r="C120" t="s">
        <v>254</v>
      </c>
      <c r="D120" t="s">
        <v>84</v>
      </c>
      <c r="E120" t="s">
        <v>39</v>
      </c>
      <c r="F120" s="3">
        <v>565.24</v>
      </c>
      <c r="G120" t="s">
        <v>15</v>
      </c>
      <c r="I120" t="s">
        <v>100</v>
      </c>
      <c r="J120" t="s">
        <v>17</v>
      </c>
      <c r="K120" t="s">
        <v>18</v>
      </c>
    </row>
    <row r="121" spans="1:11" x14ac:dyDescent="0.3">
      <c r="A121" t="s">
        <v>255</v>
      </c>
      <c r="B121" s="2">
        <v>46215</v>
      </c>
      <c r="C121" t="s">
        <v>256</v>
      </c>
      <c r="D121" t="s">
        <v>36</v>
      </c>
      <c r="E121" t="s">
        <v>22</v>
      </c>
      <c r="F121" s="3">
        <v>1759.52</v>
      </c>
      <c r="G121" t="s">
        <v>15</v>
      </c>
      <c r="I121" t="s">
        <v>30</v>
      </c>
      <c r="J121" t="s">
        <v>17</v>
      </c>
      <c r="K121" t="s">
        <v>18</v>
      </c>
    </row>
    <row r="122" spans="1:11" x14ac:dyDescent="0.3">
      <c r="A122" t="s">
        <v>257</v>
      </c>
      <c r="B122" s="2">
        <v>46135</v>
      </c>
      <c r="C122" t="s">
        <v>258</v>
      </c>
      <c r="D122" t="s">
        <v>13</v>
      </c>
      <c r="E122" t="s">
        <v>44</v>
      </c>
      <c r="F122" s="3">
        <v>2102.96</v>
      </c>
      <c r="G122" t="s">
        <v>15</v>
      </c>
      <c r="I122" t="s">
        <v>65</v>
      </c>
      <c r="J122" t="s">
        <v>17</v>
      </c>
      <c r="K122" t="s">
        <v>18</v>
      </c>
    </row>
    <row r="123" spans="1:11" x14ac:dyDescent="0.3">
      <c r="A123" t="s">
        <v>259</v>
      </c>
      <c r="B123" s="2">
        <v>46266</v>
      </c>
      <c r="C123" t="s">
        <v>184</v>
      </c>
      <c r="D123" t="s">
        <v>21</v>
      </c>
      <c r="E123" t="s">
        <v>22</v>
      </c>
      <c r="F123" s="3">
        <v>3698.95</v>
      </c>
      <c r="G123" t="s">
        <v>15</v>
      </c>
      <c r="I123" t="s">
        <v>100</v>
      </c>
      <c r="J123" t="s">
        <v>17</v>
      </c>
      <c r="K123" t="s">
        <v>26</v>
      </c>
    </row>
    <row r="124" spans="1:11" x14ac:dyDescent="0.3">
      <c r="A124" t="s">
        <v>260</v>
      </c>
      <c r="B124" s="2">
        <v>46223</v>
      </c>
      <c r="C124" t="s">
        <v>261</v>
      </c>
      <c r="D124" t="s">
        <v>84</v>
      </c>
      <c r="E124" t="s">
        <v>14</v>
      </c>
      <c r="F124" s="3">
        <v>547.65</v>
      </c>
      <c r="G124" t="s">
        <v>15</v>
      </c>
      <c r="I124" t="s">
        <v>45</v>
      </c>
      <c r="J124" t="s">
        <v>17</v>
      </c>
      <c r="K124" t="s">
        <v>47</v>
      </c>
    </row>
    <row r="125" spans="1:11" x14ac:dyDescent="0.3">
      <c r="A125" t="s">
        <v>262</v>
      </c>
      <c r="B125" s="2">
        <v>46124</v>
      </c>
      <c r="C125" t="s">
        <v>221</v>
      </c>
      <c r="D125" t="s">
        <v>21</v>
      </c>
      <c r="E125" t="s">
        <v>50</v>
      </c>
      <c r="F125" s="3">
        <v>315.66000000000003</v>
      </c>
      <c r="G125" t="s">
        <v>15</v>
      </c>
      <c r="I125" t="s">
        <v>100</v>
      </c>
      <c r="J125" t="s">
        <v>17</v>
      </c>
      <c r="K125" t="s">
        <v>47</v>
      </c>
    </row>
    <row r="126" spans="1:11" x14ac:dyDescent="0.3">
      <c r="A126" t="s">
        <v>263</v>
      </c>
      <c r="B126" s="2">
        <v>46079</v>
      </c>
      <c r="C126" t="s">
        <v>28</v>
      </c>
      <c r="D126" t="s">
        <v>21</v>
      </c>
      <c r="E126" t="s">
        <v>22</v>
      </c>
      <c r="F126" s="3">
        <v>446.11</v>
      </c>
      <c r="G126" t="s">
        <v>15</v>
      </c>
      <c r="I126" t="s">
        <v>65</v>
      </c>
      <c r="J126" t="s">
        <v>17</v>
      </c>
      <c r="K126" t="s">
        <v>26</v>
      </c>
    </row>
    <row r="127" spans="1:11" x14ac:dyDescent="0.3">
      <c r="A127" t="s">
        <v>264</v>
      </c>
      <c r="B127" s="2">
        <v>46220</v>
      </c>
      <c r="C127" t="s">
        <v>265</v>
      </c>
      <c r="D127" t="s">
        <v>84</v>
      </c>
      <c r="E127" t="s">
        <v>44</v>
      </c>
      <c r="F127" s="3">
        <v>1012.72</v>
      </c>
      <c r="G127" t="s">
        <v>15</v>
      </c>
      <c r="I127" t="s">
        <v>45</v>
      </c>
      <c r="J127" t="s">
        <v>17</v>
      </c>
      <c r="K127" t="s">
        <v>26</v>
      </c>
    </row>
    <row r="128" spans="1:11" x14ac:dyDescent="0.3">
      <c r="A128" t="s">
        <v>266</v>
      </c>
      <c r="B128" s="2">
        <v>46069</v>
      </c>
      <c r="C128" t="s">
        <v>267</v>
      </c>
      <c r="D128" t="s">
        <v>84</v>
      </c>
      <c r="E128" t="s">
        <v>44</v>
      </c>
      <c r="F128" s="3">
        <v>1296.8399999999999</v>
      </c>
      <c r="G128" t="s">
        <v>15</v>
      </c>
      <c r="I128" t="s">
        <v>100</v>
      </c>
      <c r="J128" t="s">
        <v>17</v>
      </c>
      <c r="K128" t="s">
        <v>18</v>
      </c>
    </row>
    <row r="129" spans="1:11" x14ac:dyDescent="0.3">
      <c r="A129" t="s">
        <v>268</v>
      </c>
      <c r="B129" s="2">
        <v>46159</v>
      </c>
      <c r="C129" t="s">
        <v>258</v>
      </c>
      <c r="D129" t="s">
        <v>84</v>
      </c>
      <c r="E129" t="s">
        <v>22</v>
      </c>
      <c r="F129" s="3">
        <v>803.74</v>
      </c>
      <c r="G129" t="s">
        <v>23</v>
      </c>
      <c r="H129" t="s">
        <v>198</v>
      </c>
      <c r="I129" t="s">
        <v>30</v>
      </c>
      <c r="J129" t="s">
        <v>46</v>
      </c>
      <c r="K129" t="s">
        <v>18</v>
      </c>
    </row>
    <row r="130" spans="1:11" x14ac:dyDescent="0.3">
      <c r="A130" t="s">
        <v>269</v>
      </c>
      <c r="B130" s="2">
        <v>46125</v>
      </c>
      <c r="C130" t="s">
        <v>179</v>
      </c>
      <c r="D130" t="s">
        <v>36</v>
      </c>
      <c r="E130" t="s">
        <v>22</v>
      </c>
      <c r="F130" s="3">
        <v>1289.7</v>
      </c>
      <c r="G130" t="s">
        <v>15</v>
      </c>
      <c r="I130" t="s">
        <v>100</v>
      </c>
      <c r="J130" t="s">
        <v>17</v>
      </c>
      <c r="K130" t="s">
        <v>26</v>
      </c>
    </row>
    <row r="131" spans="1:11" x14ac:dyDescent="0.3">
      <c r="A131" t="s">
        <v>270</v>
      </c>
      <c r="B131" s="2">
        <v>46061</v>
      </c>
      <c r="C131" t="s">
        <v>271</v>
      </c>
      <c r="D131" t="s">
        <v>29</v>
      </c>
      <c r="E131" t="s">
        <v>22</v>
      </c>
      <c r="F131" s="3">
        <v>848.42</v>
      </c>
      <c r="G131" t="s">
        <v>15</v>
      </c>
      <c r="I131" t="s">
        <v>33</v>
      </c>
      <c r="J131" t="s">
        <v>41</v>
      </c>
      <c r="K131" t="s">
        <v>18</v>
      </c>
    </row>
    <row r="132" spans="1:11" x14ac:dyDescent="0.3">
      <c r="A132" t="s">
        <v>272</v>
      </c>
      <c r="B132" s="2">
        <v>46130</v>
      </c>
      <c r="C132" t="s">
        <v>273</v>
      </c>
      <c r="D132" t="s">
        <v>21</v>
      </c>
      <c r="E132" t="s">
        <v>44</v>
      </c>
      <c r="F132" s="3">
        <v>1276.3900000000001</v>
      </c>
      <c r="G132" t="s">
        <v>15</v>
      </c>
      <c r="I132" t="s">
        <v>30</v>
      </c>
      <c r="J132" t="s">
        <v>46</v>
      </c>
      <c r="K132" t="s">
        <v>18</v>
      </c>
    </row>
    <row r="133" spans="1:11" x14ac:dyDescent="0.3">
      <c r="A133" t="s">
        <v>274</v>
      </c>
      <c r="B133" s="2">
        <v>46267</v>
      </c>
      <c r="C133" t="s">
        <v>177</v>
      </c>
      <c r="D133" t="s">
        <v>36</v>
      </c>
      <c r="E133" t="s">
        <v>22</v>
      </c>
      <c r="F133" s="3">
        <v>2668.27</v>
      </c>
      <c r="G133" t="s">
        <v>15</v>
      </c>
      <c r="I133" t="s">
        <v>16</v>
      </c>
      <c r="J133" t="s">
        <v>17</v>
      </c>
      <c r="K133" t="s">
        <v>18</v>
      </c>
    </row>
    <row r="134" spans="1:11" x14ac:dyDescent="0.3">
      <c r="A134" t="s">
        <v>275</v>
      </c>
      <c r="B134" s="2">
        <v>46087</v>
      </c>
      <c r="C134" t="s">
        <v>276</v>
      </c>
      <c r="D134" t="s">
        <v>84</v>
      </c>
      <c r="E134" t="s">
        <v>22</v>
      </c>
      <c r="F134" s="3">
        <v>875.62</v>
      </c>
      <c r="G134" t="s">
        <v>15</v>
      </c>
      <c r="I134" t="s">
        <v>33</v>
      </c>
      <c r="J134" t="s">
        <v>41</v>
      </c>
      <c r="K134" t="s">
        <v>26</v>
      </c>
    </row>
    <row r="135" spans="1:11" x14ac:dyDescent="0.3">
      <c r="A135" t="s">
        <v>277</v>
      </c>
      <c r="B135" s="2">
        <v>46095</v>
      </c>
      <c r="C135" t="s">
        <v>72</v>
      </c>
      <c r="D135" t="s">
        <v>29</v>
      </c>
      <c r="E135" t="s">
        <v>22</v>
      </c>
      <c r="F135" s="3">
        <v>971.4</v>
      </c>
      <c r="G135" t="s">
        <v>15</v>
      </c>
      <c r="I135" t="s">
        <v>65</v>
      </c>
      <c r="J135" t="s">
        <v>17</v>
      </c>
      <c r="K135" t="s">
        <v>47</v>
      </c>
    </row>
    <row r="136" spans="1:11" x14ac:dyDescent="0.3">
      <c r="A136" t="s">
        <v>278</v>
      </c>
      <c r="B136" s="2">
        <v>46220</v>
      </c>
      <c r="C136" t="s">
        <v>12</v>
      </c>
      <c r="D136" t="s">
        <v>36</v>
      </c>
      <c r="E136" t="s">
        <v>44</v>
      </c>
      <c r="F136" s="3">
        <v>2238.89</v>
      </c>
      <c r="G136" t="s">
        <v>15</v>
      </c>
      <c r="I136" t="s">
        <v>33</v>
      </c>
      <c r="J136" t="s">
        <v>17</v>
      </c>
      <c r="K136" t="s">
        <v>47</v>
      </c>
    </row>
    <row r="137" spans="1:11" x14ac:dyDescent="0.3">
      <c r="A137" t="s">
        <v>279</v>
      </c>
      <c r="B137" s="2">
        <v>46265</v>
      </c>
      <c r="C137" t="s">
        <v>280</v>
      </c>
      <c r="D137" t="s">
        <v>84</v>
      </c>
      <c r="E137" t="s">
        <v>22</v>
      </c>
      <c r="F137" s="3">
        <v>1402.18</v>
      </c>
      <c r="G137" t="s">
        <v>15</v>
      </c>
      <c r="I137" t="s">
        <v>30</v>
      </c>
      <c r="J137" t="s">
        <v>17</v>
      </c>
      <c r="K137" t="s">
        <v>18</v>
      </c>
    </row>
    <row r="138" spans="1:11" x14ac:dyDescent="0.3">
      <c r="A138" t="s">
        <v>281</v>
      </c>
      <c r="B138" s="2">
        <v>46284</v>
      </c>
      <c r="C138" t="s">
        <v>282</v>
      </c>
      <c r="D138" t="s">
        <v>29</v>
      </c>
      <c r="E138" t="s">
        <v>22</v>
      </c>
      <c r="F138" s="3">
        <v>1766.1</v>
      </c>
      <c r="G138" t="s">
        <v>15</v>
      </c>
      <c r="I138" t="s">
        <v>30</v>
      </c>
      <c r="J138" t="s">
        <v>17</v>
      </c>
      <c r="K138" t="s">
        <v>18</v>
      </c>
    </row>
    <row r="139" spans="1:11" x14ac:dyDescent="0.3">
      <c r="A139" t="s">
        <v>283</v>
      </c>
      <c r="B139" s="2">
        <v>46200</v>
      </c>
      <c r="C139" t="s">
        <v>284</v>
      </c>
      <c r="D139" t="s">
        <v>29</v>
      </c>
      <c r="E139" t="s">
        <v>22</v>
      </c>
      <c r="F139" s="3">
        <v>2938.67</v>
      </c>
      <c r="G139" t="s">
        <v>15</v>
      </c>
      <c r="I139" t="s">
        <v>65</v>
      </c>
      <c r="J139" t="s">
        <v>46</v>
      </c>
      <c r="K139" t="s">
        <v>18</v>
      </c>
    </row>
    <row r="140" spans="1:11" x14ac:dyDescent="0.3">
      <c r="A140" t="s">
        <v>285</v>
      </c>
      <c r="B140" s="2">
        <v>46111</v>
      </c>
      <c r="C140" t="s">
        <v>174</v>
      </c>
      <c r="D140" t="s">
        <v>29</v>
      </c>
      <c r="E140" t="s">
        <v>22</v>
      </c>
      <c r="F140" s="3">
        <v>3830.33</v>
      </c>
      <c r="G140" t="s">
        <v>23</v>
      </c>
      <c r="H140" t="s">
        <v>81</v>
      </c>
      <c r="I140" t="s">
        <v>65</v>
      </c>
      <c r="J140" t="s">
        <v>17</v>
      </c>
      <c r="K140" t="s">
        <v>18</v>
      </c>
    </row>
    <row r="141" spans="1:11" x14ac:dyDescent="0.3">
      <c r="A141" t="s">
        <v>286</v>
      </c>
      <c r="B141" s="2">
        <v>46192</v>
      </c>
      <c r="C141" t="s">
        <v>287</v>
      </c>
      <c r="D141" t="s">
        <v>29</v>
      </c>
      <c r="E141" t="s">
        <v>39</v>
      </c>
      <c r="F141" s="3">
        <v>4614.62</v>
      </c>
      <c r="G141" t="s">
        <v>15</v>
      </c>
      <c r="I141" t="s">
        <v>100</v>
      </c>
      <c r="J141" t="s">
        <v>41</v>
      </c>
      <c r="K141" t="s">
        <v>18</v>
      </c>
    </row>
    <row r="142" spans="1:11" x14ac:dyDescent="0.3">
      <c r="A142" t="s">
        <v>288</v>
      </c>
      <c r="B142" s="2">
        <v>46273</v>
      </c>
      <c r="C142" t="s">
        <v>289</v>
      </c>
      <c r="D142" t="s">
        <v>36</v>
      </c>
      <c r="E142" t="s">
        <v>22</v>
      </c>
      <c r="F142" s="3">
        <v>1170.55</v>
      </c>
      <c r="G142" t="s">
        <v>15</v>
      </c>
      <c r="I142" t="s">
        <v>65</v>
      </c>
      <c r="J142" t="s">
        <v>41</v>
      </c>
      <c r="K142" t="s">
        <v>18</v>
      </c>
    </row>
    <row r="143" spans="1:11" x14ac:dyDescent="0.3">
      <c r="A143" t="s">
        <v>290</v>
      </c>
      <c r="B143" s="2">
        <v>46246</v>
      </c>
      <c r="C143" t="s">
        <v>291</v>
      </c>
      <c r="D143" t="s">
        <v>21</v>
      </c>
      <c r="E143" t="s">
        <v>22</v>
      </c>
      <c r="F143" s="3">
        <v>4610.0600000000004</v>
      </c>
      <c r="G143" t="s">
        <v>15</v>
      </c>
      <c r="I143" t="s">
        <v>40</v>
      </c>
      <c r="J143" t="s">
        <v>17</v>
      </c>
      <c r="K143" t="s">
        <v>26</v>
      </c>
    </row>
    <row r="144" spans="1:11" x14ac:dyDescent="0.3">
      <c r="A144" t="s">
        <v>292</v>
      </c>
      <c r="B144" s="2">
        <v>46259</v>
      </c>
      <c r="C144" t="s">
        <v>49</v>
      </c>
      <c r="D144" t="s">
        <v>36</v>
      </c>
      <c r="E144" t="s">
        <v>39</v>
      </c>
      <c r="F144" s="3">
        <v>1350.32</v>
      </c>
      <c r="G144" t="s">
        <v>15</v>
      </c>
      <c r="I144" t="s">
        <v>45</v>
      </c>
      <c r="J144" t="s">
        <v>17</v>
      </c>
      <c r="K144" t="s">
        <v>18</v>
      </c>
    </row>
    <row r="145" spans="1:11" x14ac:dyDescent="0.3">
      <c r="A145" t="s">
        <v>293</v>
      </c>
      <c r="B145" s="2">
        <v>46203</v>
      </c>
      <c r="C145" t="s">
        <v>294</v>
      </c>
      <c r="D145" t="s">
        <v>21</v>
      </c>
      <c r="E145" t="s">
        <v>50</v>
      </c>
      <c r="F145" s="3">
        <v>4396.51</v>
      </c>
      <c r="G145" t="s">
        <v>23</v>
      </c>
      <c r="H145" t="s">
        <v>81</v>
      </c>
      <c r="I145" t="s">
        <v>25</v>
      </c>
      <c r="J145" t="s">
        <v>17</v>
      </c>
      <c r="K145" t="s">
        <v>47</v>
      </c>
    </row>
    <row r="146" spans="1:11" x14ac:dyDescent="0.3">
      <c r="A146" t="s">
        <v>295</v>
      </c>
      <c r="B146" s="2">
        <v>46053</v>
      </c>
      <c r="C146" t="s">
        <v>296</v>
      </c>
      <c r="D146" t="s">
        <v>84</v>
      </c>
      <c r="E146" t="s">
        <v>22</v>
      </c>
      <c r="F146" s="3">
        <v>1058.6400000000001</v>
      </c>
      <c r="G146" t="s">
        <v>15</v>
      </c>
      <c r="I146" t="s">
        <v>33</v>
      </c>
      <c r="J146" t="s">
        <v>17</v>
      </c>
      <c r="K146" t="s">
        <v>26</v>
      </c>
    </row>
    <row r="147" spans="1:11" x14ac:dyDescent="0.3">
      <c r="A147" t="s">
        <v>297</v>
      </c>
      <c r="B147" s="2">
        <v>46246</v>
      </c>
      <c r="C147" t="s">
        <v>20</v>
      </c>
      <c r="D147" t="s">
        <v>21</v>
      </c>
      <c r="E147" t="s">
        <v>22</v>
      </c>
      <c r="F147" s="3">
        <v>1339.58</v>
      </c>
      <c r="G147" t="s">
        <v>15</v>
      </c>
      <c r="I147" t="s">
        <v>45</v>
      </c>
      <c r="J147" t="s">
        <v>17</v>
      </c>
      <c r="K147" t="s">
        <v>18</v>
      </c>
    </row>
    <row r="148" spans="1:11" x14ac:dyDescent="0.3">
      <c r="A148" t="s">
        <v>298</v>
      </c>
      <c r="B148" s="2">
        <v>46185</v>
      </c>
      <c r="C148" t="s">
        <v>224</v>
      </c>
      <c r="D148" t="s">
        <v>29</v>
      </c>
      <c r="E148" t="s">
        <v>22</v>
      </c>
      <c r="F148" s="3">
        <v>895.04</v>
      </c>
      <c r="G148" t="s">
        <v>15</v>
      </c>
      <c r="I148" t="s">
        <v>65</v>
      </c>
      <c r="J148" t="s">
        <v>41</v>
      </c>
      <c r="K148" t="s">
        <v>18</v>
      </c>
    </row>
    <row r="149" spans="1:11" x14ac:dyDescent="0.3">
      <c r="A149" t="s">
        <v>299</v>
      </c>
      <c r="B149" s="2">
        <v>46218</v>
      </c>
      <c r="C149" t="s">
        <v>113</v>
      </c>
      <c r="D149" t="s">
        <v>36</v>
      </c>
      <c r="E149" t="s">
        <v>22</v>
      </c>
      <c r="F149" s="3">
        <v>725.78</v>
      </c>
      <c r="G149" t="s">
        <v>15</v>
      </c>
      <c r="I149" t="s">
        <v>40</v>
      </c>
      <c r="J149" t="s">
        <v>46</v>
      </c>
      <c r="K149" t="s">
        <v>18</v>
      </c>
    </row>
    <row r="150" spans="1:11" x14ac:dyDescent="0.3">
      <c r="A150" t="s">
        <v>300</v>
      </c>
      <c r="B150" s="2">
        <v>46215</v>
      </c>
      <c r="C150" t="s">
        <v>43</v>
      </c>
      <c r="D150" t="s">
        <v>36</v>
      </c>
      <c r="E150" t="s">
        <v>50</v>
      </c>
      <c r="F150" s="3">
        <v>772.91</v>
      </c>
      <c r="G150" t="s">
        <v>15</v>
      </c>
      <c r="I150" t="s">
        <v>100</v>
      </c>
      <c r="J150" t="s">
        <v>17</v>
      </c>
      <c r="K150" t="s">
        <v>18</v>
      </c>
    </row>
    <row r="151" spans="1:11" x14ac:dyDescent="0.3">
      <c r="A151" t="s">
        <v>301</v>
      </c>
      <c r="B151" s="2">
        <v>46101</v>
      </c>
      <c r="C151" t="s">
        <v>302</v>
      </c>
      <c r="D151" t="s">
        <v>21</v>
      </c>
      <c r="E151" t="s">
        <v>39</v>
      </c>
      <c r="F151" s="3">
        <v>5030.03</v>
      </c>
      <c r="G151" t="s">
        <v>15</v>
      </c>
      <c r="I151" t="s">
        <v>40</v>
      </c>
      <c r="J151" t="s">
        <v>17</v>
      </c>
      <c r="K151" t="s">
        <v>18</v>
      </c>
    </row>
    <row r="152" spans="1:11" x14ac:dyDescent="0.3">
      <c r="A152" t="s">
        <v>303</v>
      </c>
      <c r="B152" s="2">
        <v>46121</v>
      </c>
      <c r="C152" t="s">
        <v>304</v>
      </c>
      <c r="D152" t="s">
        <v>13</v>
      </c>
      <c r="E152" t="s">
        <v>14</v>
      </c>
      <c r="F152" s="3">
        <v>477.08</v>
      </c>
      <c r="G152" t="s">
        <v>15</v>
      </c>
      <c r="I152" t="s">
        <v>30</v>
      </c>
      <c r="J152" t="s">
        <v>17</v>
      </c>
      <c r="K152" t="s">
        <v>18</v>
      </c>
    </row>
    <row r="153" spans="1:11" x14ac:dyDescent="0.3">
      <c r="A153" t="s">
        <v>305</v>
      </c>
      <c r="B153" s="2">
        <v>46049</v>
      </c>
      <c r="C153" t="s">
        <v>306</v>
      </c>
      <c r="D153" t="s">
        <v>36</v>
      </c>
      <c r="E153" t="s">
        <v>39</v>
      </c>
      <c r="F153" s="3">
        <v>1050.24</v>
      </c>
      <c r="G153" t="s">
        <v>15</v>
      </c>
      <c r="I153" t="s">
        <v>65</v>
      </c>
      <c r="J153" t="s">
        <v>17</v>
      </c>
      <c r="K153" t="s">
        <v>47</v>
      </c>
    </row>
    <row r="154" spans="1:11" x14ac:dyDescent="0.3">
      <c r="A154" t="s">
        <v>307</v>
      </c>
      <c r="B154" s="2">
        <v>46106</v>
      </c>
      <c r="C154" t="s">
        <v>308</v>
      </c>
      <c r="D154" t="s">
        <v>29</v>
      </c>
      <c r="E154" t="s">
        <v>44</v>
      </c>
      <c r="F154" s="3">
        <v>382.2</v>
      </c>
      <c r="G154" t="s">
        <v>15</v>
      </c>
      <c r="I154" t="s">
        <v>40</v>
      </c>
      <c r="J154" t="s">
        <v>46</v>
      </c>
      <c r="K154" t="s">
        <v>18</v>
      </c>
    </row>
    <row r="155" spans="1:11" x14ac:dyDescent="0.3">
      <c r="A155" t="s">
        <v>309</v>
      </c>
      <c r="B155" s="2">
        <v>46034</v>
      </c>
      <c r="C155" t="s">
        <v>181</v>
      </c>
      <c r="D155" t="s">
        <v>36</v>
      </c>
      <c r="E155" t="s">
        <v>50</v>
      </c>
      <c r="F155" s="3">
        <v>714.19</v>
      </c>
      <c r="G155" t="s">
        <v>15</v>
      </c>
      <c r="I155" t="s">
        <v>65</v>
      </c>
      <c r="J155" t="s">
        <v>17</v>
      </c>
      <c r="K155" t="s">
        <v>18</v>
      </c>
    </row>
    <row r="156" spans="1:11" x14ac:dyDescent="0.3">
      <c r="A156" t="s">
        <v>310</v>
      </c>
      <c r="B156" s="2">
        <v>46030</v>
      </c>
      <c r="C156" t="s">
        <v>311</v>
      </c>
      <c r="D156" t="s">
        <v>21</v>
      </c>
      <c r="E156" t="s">
        <v>14</v>
      </c>
      <c r="F156" s="3">
        <v>1839.78</v>
      </c>
      <c r="G156" t="s">
        <v>23</v>
      </c>
      <c r="H156" t="s">
        <v>138</v>
      </c>
      <c r="I156" t="s">
        <v>100</v>
      </c>
      <c r="J156" t="s">
        <v>17</v>
      </c>
      <c r="K156" t="s">
        <v>18</v>
      </c>
    </row>
    <row r="157" spans="1:11" x14ac:dyDescent="0.3">
      <c r="A157" t="s">
        <v>312</v>
      </c>
      <c r="B157" s="2">
        <v>46068</v>
      </c>
      <c r="C157" t="s">
        <v>313</v>
      </c>
      <c r="D157" t="s">
        <v>29</v>
      </c>
      <c r="E157" t="s">
        <v>22</v>
      </c>
      <c r="F157" s="3">
        <v>1678.84</v>
      </c>
      <c r="G157" t="s">
        <v>15</v>
      </c>
      <c r="I157" t="s">
        <v>25</v>
      </c>
      <c r="J157" t="s">
        <v>41</v>
      </c>
      <c r="K157" t="s">
        <v>18</v>
      </c>
    </row>
    <row r="158" spans="1:11" x14ac:dyDescent="0.3">
      <c r="A158" t="s">
        <v>314</v>
      </c>
      <c r="B158" s="2">
        <v>46236</v>
      </c>
      <c r="C158" t="s">
        <v>308</v>
      </c>
      <c r="D158" t="s">
        <v>21</v>
      </c>
      <c r="E158" t="s">
        <v>14</v>
      </c>
      <c r="F158" s="3">
        <v>363.77</v>
      </c>
      <c r="G158" t="s">
        <v>15</v>
      </c>
      <c r="I158" t="s">
        <v>65</v>
      </c>
      <c r="J158" t="s">
        <v>17</v>
      </c>
      <c r="K158" t="s">
        <v>18</v>
      </c>
    </row>
    <row r="159" spans="1:11" x14ac:dyDescent="0.3">
      <c r="A159" t="s">
        <v>315</v>
      </c>
      <c r="B159" s="2">
        <v>46117</v>
      </c>
      <c r="C159" t="s">
        <v>91</v>
      </c>
      <c r="D159" t="s">
        <v>21</v>
      </c>
      <c r="E159" t="s">
        <v>14</v>
      </c>
      <c r="F159" s="3">
        <v>1832.8</v>
      </c>
      <c r="G159" t="s">
        <v>23</v>
      </c>
      <c r="H159" t="s">
        <v>138</v>
      </c>
      <c r="I159" t="s">
        <v>100</v>
      </c>
      <c r="J159" t="s">
        <v>41</v>
      </c>
      <c r="K159" t="s">
        <v>47</v>
      </c>
    </row>
    <row r="160" spans="1:11" x14ac:dyDescent="0.3">
      <c r="A160" t="s">
        <v>316</v>
      </c>
      <c r="B160" s="2">
        <v>46201</v>
      </c>
      <c r="C160" t="s">
        <v>317</v>
      </c>
      <c r="D160" t="s">
        <v>36</v>
      </c>
      <c r="E160" t="s">
        <v>44</v>
      </c>
      <c r="F160" s="3">
        <v>984.94</v>
      </c>
      <c r="G160" t="s">
        <v>23</v>
      </c>
      <c r="H160" t="s">
        <v>81</v>
      </c>
      <c r="I160" t="s">
        <v>33</v>
      </c>
      <c r="J160" t="s">
        <v>17</v>
      </c>
      <c r="K160" t="s">
        <v>26</v>
      </c>
    </row>
    <row r="161" spans="1:11" x14ac:dyDescent="0.3">
      <c r="A161" t="s">
        <v>318</v>
      </c>
      <c r="B161" s="2">
        <v>46247</v>
      </c>
      <c r="C161" t="s">
        <v>296</v>
      </c>
      <c r="D161" t="s">
        <v>13</v>
      </c>
      <c r="E161" t="s">
        <v>22</v>
      </c>
      <c r="F161" s="3">
        <v>886.79</v>
      </c>
      <c r="G161" t="s">
        <v>15</v>
      </c>
      <c r="I161" t="s">
        <v>25</v>
      </c>
      <c r="J161" t="s">
        <v>17</v>
      </c>
      <c r="K161" t="s">
        <v>18</v>
      </c>
    </row>
    <row r="162" spans="1:11" x14ac:dyDescent="0.3">
      <c r="A162" t="s">
        <v>319</v>
      </c>
      <c r="B162" s="2">
        <v>46188</v>
      </c>
      <c r="C162" t="s">
        <v>320</v>
      </c>
      <c r="D162" t="s">
        <v>84</v>
      </c>
      <c r="E162" t="s">
        <v>39</v>
      </c>
      <c r="F162" s="3">
        <v>4620.8900000000003</v>
      </c>
      <c r="G162" t="s">
        <v>15</v>
      </c>
      <c r="I162" t="s">
        <v>40</v>
      </c>
      <c r="J162" t="s">
        <v>17</v>
      </c>
      <c r="K162" t="s">
        <v>18</v>
      </c>
    </row>
    <row r="163" spans="1:11" x14ac:dyDescent="0.3">
      <c r="A163" t="s">
        <v>321</v>
      </c>
      <c r="B163" s="2">
        <v>46145</v>
      </c>
      <c r="C163" t="s">
        <v>170</v>
      </c>
      <c r="D163" t="s">
        <v>29</v>
      </c>
      <c r="E163" t="s">
        <v>22</v>
      </c>
      <c r="F163" s="3">
        <v>1940.52</v>
      </c>
      <c r="G163" t="s">
        <v>23</v>
      </c>
      <c r="H163" t="s">
        <v>24</v>
      </c>
      <c r="I163" t="s">
        <v>16</v>
      </c>
      <c r="J163" t="s">
        <v>17</v>
      </c>
      <c r="K163" t="s">
        <v>18</v>
      </c>
    </row>
    <row r="164" spans="1:11" x14ac:dyDescent="0.3">
      <c r="A164" t="s">
        <v>322</v>
      </c>
      <c r="B164" s="2">
        <v>46106</v>
      </c>
      <c r="C164" t="s">
        <v>280</v>
      </c>
      <c r="D164" t="s">
        <v>36</v>
      </c>
      <c r="E164" t="s">
        <v>22</v>
      </c>
      <c r="F164" s="3">
        <v>2636.59</v>
      </c>
      <c r="G164" t="s">
        <v>15</v>
      </c>
      <c r="I164" t="s">
        <v>65</v>
      </c>
      <c r="J164" t="s">
        <v>17</v>
      </c>
      <c r="K164" t="s">
        <v>47</v>
      </c>
    </row>
    <row r="165" spans="1:11" x14ac:dyDescent="0.3">
      <c r="A165" t="s">
        <v>323</v>
      </c>
      <c r="B165" s="2">
        <v>46149</v>
      </c>
      <c r="C165" t="s">
        <v>151</v>
      </c>
      <c r="D165" t="s">
        <v>84</v>
      </c>
      <c r="E165" t="s">
        <v>22</v>
      </c>
      <c r="F165" s="3">
        <v>803.24</v>
      </c>
      <c r="G165" t="s">
        <v>15</v>
      </c>
      <c r="I165" t="s">
        <v>25</v>
      </c>
      <c r="J165" t="s">
        <v>17</v>
      </c>
      <c r="K165" t="s">
        <v>18</v>
      </c>
    </row>
    <row r="166" spans="1:11" x14ac:dyDescent="0.3">
      <c r="A166" t="s">
        <v>324</v>
      </c>
      <c r="B166" s="2">
        <v>46047</v>
      </c>
      <c r="C166" t="s">
        <v>32</v>
      </c>
      <c r="D166" t="s">
        <v>36</v>
      </c>
      <c r="E166" t="s">
        <v>44</v>
      </c>
      <c r="F166" s="3">
        <v>943.71</v>
      </c>
      <c r="G166" t="s">
        <v>15</v>
      </c>
      <c r="I166" t="s">
        <v>100</v>
      </c>
      <c r="J166" t="s">
        <v>17</v>
      </c>
      <c r="K166" t="s">
        <v>26</v>
      </c>
    </row>
    <row r="167" spans="1:11" x14ac:dyDescent="0.3">
      <c r="A167" t="s">
        <v>325</v>
      </c>
      <c r="B167" s="2">
        <v>46104</v>
      </c>
      <c r="C167" t="s">
        <v>326</v>
      </c>
      <c r="D167" t="s">
        <v>21</v>
      </c>
      <c r="E167" t="s">
        <v>22</v>
      </c>
      <c r="F167" s="3">
        <v>1649.46</v>
      </c>
      <c r="G167" t="s">
        <v>15</v>
      </c>
      <c r="I167" t="s">
        <v>25</v>
      </c>
      <c r="J167" t="s">
        <v>17</v>
      </c>
      <c r="K167" t="s">
        <v>18</v>
      </c>
    </row>
    <row r="168" spans="1:11" x14ac:dyDescent="0.3">
      <c r="A168" t="s">
        <v>327</v>
      </c>
      <c r="B168" s="2">
        <v>46224</v>
      </c>
      <c r="C168" t="s">
        <v>89</v>
      </c>
      <c r="D168" t="s">
        <v>29</v>
      </c>
      <c r="E168" t="s">
        <v>22</v>
      </c>
      <c r="F168" s="3">
        <v>429.58</v>
      </c>
      <c r="G168" t="s">
        <v>15</v>
      </c>
      <c r="I168" t="s">
        <v>16</v>
      </c>
      <c r="J168" t="s">
        <v>17</v>
      </c>
      <c r="K168" t="s">
        <v>47</v>
      </c>
    </row>
    <row r="169" spans="1:11" x14ac:dyDescent="0.3">
      <c r="A169" t="s">
        <v>328</v>
      </c>
      <c r="B169" s="2">
        <v>46046</v>
      </c>
      <c r="C169" t="s">
        <v>164</v>
      </c>
      <c r="D169" t="s">
        <v>36</v>
      </c>
      <c r="E169" t="s">
        <v>22</v>
      </c>
      <c r="F169" s="3">
        <v>840.88</v>
      </c>
      <c r="G169" t="s">
        <v>15</v>
      </c>
      <c r="I169" t="s">
        <v>33</v>
      </c>
      <c r="J169" t="s">
        <v>17</v>
      </c>
      <c r="K169" t="s">
        <v>47</v>
      </c>
    </row>
    <row r="170" spans="1:11" x14ac:dyDescent="0.3">
      <c r="A170" t="s">
        <v>329</v>
      </c>
      <c r="B170" s="2">
        <v>46118</v>
      </c>
      <c r="C170" t="s">
        <v>294</v>
      </c>
      <c r="D170" t="s">
        <v>36</v>
      </c>
      <c r="E170" t="s">
        <v>22</v>
      </c>
      <c r="F170" s="3">
        <v>882.7</v>
      </c>
      <c r="G170" t="s">
        <v>15</v>
      </c>
      <c r="I170" t="s">
        <v>40</v>
      </c>
      <c r="J170" t="s">
        <v>17</v>
      </c>
      <c r="K170" t="s">
        <v>26</v>
      </c>
    </row>
    <row r="171" spans="1:11" x14ac:dyDescent="0.3">
      <c r="A171" t="s">
        <v>330</v>
      </c>
      <c r="B171" s="2">
        <v>46208</v>
      </c>
      <c r="C171" t="s">
        <v>186</v>
      </c>
      <c r="D171" t="s">
        <v>36</v>
      </c>
      <c r="E171" t="s">
        <v>39</v>
      </c>
      <c r="F171" s="3">
        <v>1270.97</v>
      </c>
      <c r="G171" t="s">
        <v>15</v>
      </c>
      <c r="I171" t="s">
        <v>30</v>
      </c>
      <c r="J171" t="s">
        <v>17</v>
      </c>
      <c r="K171" t="s">
        <v>26</v>
      </c>
    </row>
    <row r="172" spans="1:11" x14ac:dyDescent="0.3">
      <c r="A172" t="s">
        <v>331</v>
      </c>
      <c r="B172" s="2">
        <v>46030</v>
      </c>
      <c r="C172" t="s">
        <v>332</v>
      </c>
      <c r="D172" t="s">
        <v>84</v>
      </c>
      <c r="E172" t="s">
        <v>50</v>
      </c>
      <c r="F172" s="3">
        <v>4158.12</v>
      </c>
      <c r="G172" t="s">
        <v>15</v>
      </c>
      <c r="I172" t="s">
        <v>16</v>
      </c>
      <c r="J172" t="s">
        <v>17</v>
      </c>
      <c r="K172" t="s">
        <v>18</v>
      </c>
    </row>
    <row r="173" spans="1:11" x14ac:dyDescent="0.3">
      <c r="A173" t="s">
        <v>333</v>
      </c>
      <c r="B173" s="2">
        <v>46133</v>
      </c>
      <c r="C173" t="s">
        <v>313</v>
      </c>
      <c r="D173" t="s">
        <v>29</v>
      </c>
      <c r="E173" t="s">
        <v>50</v>
      </c>
      <c r="F173" s="3">
        <v>377.95</v>
      </c>
      <c r="G173" t="s">
        <v>15</v>
      </c>
      <c r="I173" t="s">
        <v>33</v>
      </c>
      <c r="J173" t="s">
        <v>17</v>
      </c>
      <c r="K173" t="s">
        <v>18</v>
      </c>
    </row>
    <row r="174" spans="1:11" x14ac:dyDescent="0.3">
      <c r="A174" t="s">
        <v>334</v>
      </c>
      <c r="B174" s="2">
        <v>46050</v>
      </c>
      <c r="C174" t="s">
        <v>335</v>
      </c>
      <c r="D174" t="s">
        <v>36</v>
      </c>
      <c r="E174" t="s">
        <v>22</v>
      </c>
      <c r="F174" s="3">
        <v>2198.54</v>
      </c>
      <c r="G174" t="s">
        <v>15</v>
      </c>
      <c r="I174" t="s">
        <v>65</v>
      </c>
      <c r="J174" t="s">
        <v>17</v>
      </c>
      <c r="K174" t="s">
        <v>18</v>
      </c>
    </row>
    <row r="175" spans="1:11" x14ac:dyDescent="0.3">
      <c r="A175" t="s">
        <v>336</v>
      </c>
      <c r="B175" s="2">
        <v>46217</v>
      </c>
      <c r="C175" t="s">
        <v>337</v>
      </c>
      <c r="D175" t="s">
        <v>84</v>
      </c>
      <c r="E175" t="s">
        <v>22</v>
      </c>
      <c r="F175" s="3">
        <v>471.42</v>
      </c>
      <c r="G175" t="s">
        <v>15</v>
      </c>
      <c r="I175" t="s">
        <v>100</v>
      </c>
      <c r="J175" t="s">
        <v>17</v>
      </c>
      <c r="K175" t="s">
        <v>47</v>
      </c>
    </row>
    <row r="176" spans="1:11" x14ac:dyDescent="0.3">
      <c r="A176" t="s">
        <v>338</v>
      </c>
      <c r="B176" s="2">
        <v>46286</v>
      </c>
      <c r="C176" t="s">
        <v>67</v>
      </c>
      <c r="D176" t="s">
        <v>36</v>
      </c>
      <c r="E176" t="s">
        <v>22</v>
      </c>
      <c r="F176" s="3">
        <v>3698.37</v>
      </c>
      <c r="G176" t="s">
        <v>15</v>
      </c>
      <c r="I176" t="s">
        <v>33</v>
      </c>
      <c r="J176" t="s">
        <v>17</v>
      </c>
      <c r="K176" t="s">
        <v>26</v>
      </c>
    </row>
    <row r="177" spans="1:11" x14ac:dyDescent="0.3">
      <c r="A177" t="s">
        <v>339</v>
      </c>
      <c r="B177" s="2">
        <v>46142</v>
      </c>
      <c r="C177" t="s">
        <v>340</v>
      </c>
      <c r="D177" t="s">
        <v>36</v>
      </c>
      <c r="E177" t="s">
        <v>39</v>
      </c>
      <c r="F177" s="3">
        <v>2270.4699999999998</v>
      </c>
      <c r="G177" t="s">
        <v>15</v>
      </c>
      <c r="I177" t="s">
        <v>16</v>
      </c>
      <c r="J177" t="s">
        <v>46</v>
      </c>
      <c r="K177" t="s">
        <v>18</v>
      </c>
    </row>
    <row r="178" spans="1:11" x14ac:dyDescent="0.3">
      <c r="A178" t="s">
        <v>341</v>
      </c>
      <c r="B178" s="2">
        <v>46152</v>
      </c>
      <c r="C178" t="s">
        <v>159</v>
      </c>
      <c r="D178" t="s">
        <v>29</v>
      </c>
      <c r="E178" t="s">
        <v>22</v>
      </c>
      <c r="F178" s="3">
        <v>942.81</v>
      </c>
      <c r="G178" t="s">
        <v>15</v>
      </c>
      <c r="I178" t="s">
        <v>16</v>
      </c>
      <c r="J178" t="s">
        <v>17</v>
      </c>
      <c r="K178" t="s">
        <v>18</v>
      </c>
    </row>
    <row r="179" spans="1:11" x14ac:dyDescent="0.3">
      <c r="A179" t="s">
        <v>342</v>
      </c>
      <c r="B179" s="2">
        <v>46201</v>
      </c>
      <c r="C179" t="s">
        <v>174</v>
      </c>
      <c r="D179" t="s">
        <v>84</v>
      </c>
      <c r="E179" t="s">
        <v>22</v>
      </c>
      <c r="F179" s="3">
        <v>855.62</v>
      </c>
      <c r="G179" t="s">
        <v>15</v>
      </c>
      <c r="I179" t="s">
        <v>33</v>
      </c>
      <c r="J179" t="s">
        <v>46</v>
      </c>
      <c r="K179" t="s">
        <v>47</v>
      </c>
    </row>
    <row r="180" spans="1:11" x14ac:dyDescent="0.3">
      <c r="A180" t="s">
        <v>343</v>
      </c>
      <c r="B180" s="2">
        <v>46239</v>
      </c>
      <c r="C180" t="s">
        <v>344</v>
      </c>
      <c r="D180" t="s">
        <v>21</v>
      </c>
      <c r="E180" t="s">
        <v>22</v>
      </c>
      <c r="F180" s="3">
        <v>2385.88</v>
      </c>
      <c r="G180" t="s">
        <v>15</v>
      </c>
      <c r="I180" t="s">
        <v>40</v>
      </c>
      <c r="J180" t="s">
        <v>17</v>
      </c>
      <c r="K180" t="s">
        <v>18</v>
      </c>
    </row>
    <row r="181" spans="1:11" x14ac:dyDescent="0.3">
      <c r="A181" t="s">
        <v>345</v>
      </c>
      <c r="B181" s="2">
        <v>46256</v>
      </c>
      <c r="C181" t="s">
        <v>52</v>
      </c>
      <c r="D181" t="s">
        <v>84</v>
      </c>
      <c r="E181" t="s">
        <v>14</v>
      </c>
      <c r="F181" s="3">
        <v>1556.11</v>
      </c>
      <c r="G181" t="s">
        <v>15</v>
      </c>
      <c r="I181" t="s">
        <v>100</v>
      </c>
      <c r="J181" t="s">
        <v>17</v>
      </c>
      <c r="K181" t="s">
        <v>26</v>
      </c>
    </row>
    <row r="182" spans="1:11" x14ac:dyDescent="0.3">
      <c r="A182" t="s">
        <v>346</v>
      </c>
      <c r="B182" s="2">
        <v>46108</v>
      </c>
      <c r="C182" t="s">
        <v>161</v>
      </c>
      <c r="D182" t="s">
        <v>21</v>
      </c>
      <c r="E182" t="s">
        <v>44</v>
      </c>
      <c r="F182" s="3">
        <v>2195.0700000000002</v>
      </c>
      <c r="G182" t="s">
        <v>15</v>
      </c>
      <c r="I182" t="s">
        <v>40</v>
      </c>
      <c r="J182" t="s">
        <v>17</v>
      </c>
      <c r="K182" t="s">
        <v>18</v>
      </c>
    </row>
    <row r="183" spans="1:11" x14ac:dyDescent="0.3">
      <c r="A183" t="s">
        <v>347</v>
      </c>
      <c r="B183" s="2">
        <v>46254</v>
      </c>
      <c r="C183" t="s">
        <v>348</v>
      </c>
      <c r="D183" t="s">
        <v>21</v>
      </c>
      <c r="E183" t="s">
        <v>14</v>
      </c>
      <c r="F183" s="3">
        <v>480.99</v>
      </c>
      <c r="G183" t="s">
        <v>15</v>
      </c>
      <c r="I183" t="s">
        <v>65</v>
      </c>
      <c r="J183" t="s">
        <v>41</v>
      </c>
      <c r="K183" t="s">
        <v>47</v>
      </c>
    </row>
    <row r="184" spans="1:11" x14ac:dyDescent="0.3">
      <c r="A184" t="s">
        <v>349</v>
      </c>
      <c r="B184" s="2">
        <v>46164</v>
      </c>
      <c r="C184" t="s">
        <v>350</v>
      </c>
      <c r="D184" t="s">
        <v>36</v>
      </c>
      <c r="E184" t="s">
        <v>22</v>
      </c>
      <c r="F184" s="3">
        <v>4085.3</v>
      </c>
      <c r="G184" t="s">
        <v>149</v>
      </c>
      <c r="I184" t="s">
        <v>40</v>
      </c>
      <c r="J184" t="s">
        <v>46</v>
      </c>
      <c r="K184" t="s">
        <v>18</v>
      </c>
    </row>
    <row r="185" spans="1:11" x14ac:dyDescent="0.3">
      <c r="A185" t="s">
        <v>351</v>
      </c>
      <c r="B185" s="2">
        <v>46111</v>
      </c>
      <c r="C185" t="s">
        <v>352</v>
      </c>
      <c r="D185" t="s">
        <v>29</v>
      </c>
      <c r="E185" t="s">
        <v>39</v>
      </c>
      <c r="F185" s="3">
        <v>507.92</v>
      </c>
      <c r="G185" t="s">
        <v>23</v>
      </c>
      <c r="H185" t="s">
        <v>162</v>
      </c>
      <c r="I185" t="s">
        <v>100</v>
      </c>
      <c r="J185" t="s">
        <v>17</v>
      </c>
      <c r="K185" t="s">
        <v>26</v>
      </c>
    </row>
    <row r="186" spans="1:11" x14ac:dyDescent="0.3">
      <c r="A186" t="s">
        <v>353</v>
      </c>
      <c r="B186" s="2">
        <v>46154</v>
      </c>
      <c r="C186" t="s">
        <v>254</v>
      </c>
      <c r="D186" t="s">
        <v>29</v>
      </c>
      <c r="E186" t="s">
        <v>14</v>
      </c>
      <c r="F186" s="3">
        <v>2631.39</v>
      </c>
      <c r="G186" t="s">
        <v>15</v>
      </c>
      <c r="I186" t="s">
        <v>16</v>
      </c>
      <c r="J186" t="s">
        <v>17</v>
      </c>
      <c r="K186" t="s">
        <v>47</v>
      </c>
    </row>
    <row r="187" spans="1:11" x14ac:dyDescent="0.3">
      <c r="A187" t="s">
        <v>354</v>
      </c>
      <c r="B187" s="2">
        <v>46111</v>
      </c>
      <c r="C187" t="s">
        <v>181</v>
      </c>
      <c r="D187" t="s">
        <v>29</v>
      </c>
      <c r="E187" t="s">
        <v>22</v>
      </c>
      <c r="F187" s="3">
        <v>1840.03</v>
      </c>
      <c r="G187" t="s">
        <v>15</v>
      </c>
      <c r="I187" t="s">
        <v>33</v>
      </c>
      <c r="J187" t="s">
        <v>17</v>
      </c>
      <c r="K187" t="s">
        <v>18</v>
      </c>
    </row>
    <row r="188" spans="1:11" x14ac:dyDescent="0.3">
      <c r="A188" t="s">
        <v>355</v>
      </c>
      <c r="B188" s="2">
        <v>46246</v>
      </c>
      <c r="C188" t="s">
        <v>280</v>
      </c>
      <c r="D188" t="s">
        <v>21</v>
      </c>
      <c r="E188" t="s">
        <v>22</v>
      </c>
      <c r="F188" s="3">
        <v>454.96</v>
      </c>
      <c r="G188" t="s">
        <v>15</v>
      </c>
      <c r="I188" t="s">
        <v>65</v>
      </c>
      <c r="J188" t="s">
        <v>41</v>
      </c>
      <c r="K188" t="s">
        <v>26</v>
      </c>
    </row>
    <row r="189" spans="1:11" x14ac:dyDescent="0.3">
      <c r="A189" t="s">
        <v>356</v>
      </c>
      <c r="B189" s="2">
        <v>46107</v>
      </c>
      <c r="C189" t="s">
        <v>202</v>
      </c>
      <c r="D189" t="s">
        <v>84</v>
      </c>
      <c r="E189" t="s">
        <v>39</v>
      </c>
      <c r="F189" s="3">
        <v>764.6</v>
      </c>
      <c r="G189" t="s">
        <v>15</v>
      </c>
      <c r="I189" t="s">
        <v>25</v>
      </c>
      <c r="J189" t="s">
        <v>46</v>
      </c>
      <c r="K189" t="s">
        <v>47</v>
      </c>
    </row>
    <row r="190" spans="1:11" x14ac:dyDescent="0.3">
      <c r="A190" t="s">
        <v>357</v>
      </c>
      <c r="B190" s="2">
        <v>46250</v>
      </c>
      <c r="C190" t="s">
        <v>54</v>
      </c>
      <c r="D190" t="s">
        <v>84</v>
      </c>
      <c r="E190" t="s">
        <v>39</v>
      </c>
      <c r="F190" s="3">
        <v>3388.97</v>
      </c>
      <c r="G190" t="s">
        <v>15</v>
      </c>
      <c r="I190" t="s">
        <v>33</v>
      </c>
      <c r="J190" t="s">
        <v>46</v>
      </c>
      <c r="K190" t="s">
        <v>18</v>
      </c>
    </row>
    <row r="191" spans="1:11" x14ac:dyDescent="0.3">
      <c r="A191" t="s">
        <v>358</v>
      </c>
      <c r="B191" s="2">
        <v>46139</v>
      </c>
      <c r="C191" t="s">
        <v>359</v>
      </c>
      <c r="D191" t="s">
        <v>29</v>
      </c>
      <c r="E191" t="s">
        <v>39</v>
      </c>
      <c r="F191" s="3">
        <v>1831.72</v>
      </c>
      <c r="G191" t="s">
        <v>23</v>
      </c>
      <c r="H191" t="s">
        <v>70</v>
      </c>
      <c r="I191" t="s">
        <v>33</v>
      </c>
      <c r="J191" t="s">
        <v>46</v>
      </c>
      <c r="K191" t="s">
        <v>18</v>
      </c>
    </row>
    <row r="192" spans="1:11" x14ac:dyDescent="0.3">
      <c r="A192" t="s">
        <v>360</v>
      </c>
      <c r="B192" s="2">
        <v>46074</v>
      </c>
      <c r="C192" t="s">
        <v>157</v>
      </c>
      <c r="D192" t="s">
        <v>84</v>
      </c>
      <c r="E192" t="s">
        <v>22</v>
      </c>
      <c r="F192" s="3">
        <v>1775.59</v>
      </c>
      <c r="G192" t="s">
        <v>149</v>
      </c>
      <c r="I192" t="s">
        <v>33</v>
      </c>
      <c r="J192" t="s">
        <v>41</v>
      </c>
      <c r="K192" t="s">
        <v>18</v>
      </c>
    </row>
    <row r="193" spans="1:11" x14ac:dyDescent="0.3">
      <c r="A193" t="s">
        <v>361</v>
      </c>
      <c r="B193" s="2">
        <v>46285</v>
      </c>
      <c r="C193" t="s">
        <v>362</v>
      </c>
      <c r="D193" t="s">
        <v>84</v>
      </c>
      <c r="E193" t="s">
        <v>50</v>
      </c>
      <c r="F193" s="3">
        <v>1401.38</v>
      </c>
      <c r="G193" t="s">
        <v>15</v>
      </c>
      <c r="I193" t="s">
        <v>16</v>
      </c>
      <c r="J193" t="s">
        <v>17</v>
      </c>
      <c r="K193" t="s">
        <v>26</v>
      </c>
    </row>
    <row r="194" spans="1:11" x14ac:dyDescent="0.3">
      <c r="A194" t="s">
        <v>363</v>
      </c>
      <c r="B194" s="2">
        <v>46058</v>
      </c>
      <c r="C194" t="s">
        <v>364</v>
      </c>
      <c r="D194" t="s">
        <v>36</v>
      </c>
      <c r="E194" t="s">
        <v>39</v>
      </c>
      <c r="F194" s="3">
        <v>647.49</v>
      </c>
      <c r="G194" t="s">
        <v>15</v>
      </c>
      <c r="I194" t="s">
        <v>65</v>
      </c>
      <c r="J194" t="s">
        <v>17</v>
      </c>
      <c r="K194" t="s">
        <v>18</v>
      </c>
    </row>
    <row r="195" spans="1:11" x14ac:dyDescent="0.3">
      <c r="A195" t="s">
        <v>365</v>
      </c>
      <c r="B195" s="2">
        <v>46140</v>
      </c>
      <c r="C195" t="s">
        <v>366</v>
      </c>
      <c r="D195" t="s">
        <v>36</v>
      </c>
      <c r="E195" t="s">
        <v>22</v>
      </c>
      <c r="F195" s="3">
        <v>1072.04</v>
      </c>
      <c r="G195" t="s">
        <v>15</v>
      </c>
      <c r="I195" t="s">
        <v>45</v>
      </c>
      <c r="J195" t="s">
        <v>41</v>
      </c>
      <c r="K195" t="s">
        <v>26</v>
      </c>
    </row>
    <row r="196" spans="1:11" x14ac:dyDescent="0.3">
      <c r="A196" t="s">
        <v>367</v>
      </c>
      <c r="B196" s="2">
        <v>46147</v>
      </c>
      <c r="C196" t="s">
        <v>368</v>
      </c>
      <c r="D196" t="s">
        <v>21</v>
      </c>
      <c r="E196" t="s">
        <v>50</v>
      </c>
      <c r="F196" s="3">
        <v>1369.86</v>
      </c>
      <c r="G196" t="s">
        <v>15</v>
      </c>
      <c r="I196" t="s">
        <v>100</v>
      </c>
      <c r="J196" t="s">
        <v>17</v>
      </c>
      <c r="K196" t="s">
        <v>26</v>
      </c>
    </row>
    <row r="197" spans="1:11" x14ac:dyDescent="0.3">
      <c r="A197" t="s">
        <v>369</v>
      </c>
      <c r="B197" s="2">
        <v>46224</v>
      </c>
      <c r="C197" t="s">
        <v>370</v>
      </c>
      <c r="D197" t="s">
        <v>21</v>
      </c>
      <c r="E197" t="s">
        <v>39</v>
      </c>
      <c r="F197" s="3">
        <v>1464.3</v>
      </c>
      <c r="G197" t="s">
        <v>15</v>
      </c>
      <c r="I197" t="s">
        <v>33</v>
      </c>
      <c r="J197" t="s">
        <v>17</v>
      </c>
      <c r="K197" t="s">
        <v>18</v>
      </c>
    </row>
    <row r="198" spans="1:11" x14ac:dyDescent="0.3">
      <c r="A198" t="s">
        <v>371</v>
      </c>
      <c r="B198" s="2">
        <v>46130</v>
      </c>
      <c r="C198" t="s">
        <v>372</v>
      </c>
      <c r="D198" t="s">
        <v>13</v>
      </c>
      <c r="E198" t="s">
        <v>22</v>
      </c>
      <c r="F198" s="3">
        <v>920.11</v>
      </c>
      <c r="G198" t="s">
        <v>15</v>
      </c>
      <c r="I198" t="s">
        <v>16</v>
      </c>
      <c r="J198" t="s">
        <v>17</v>
      </c>
      <c r="K198" t="s">
        <v>18</v>
      </c>
    </row>
    <row r="199" spans="1:11" x14ac:dyDescent="0.3">
      <c r="A199" t="s">
        <v>373</v>
      </c>
      <c r="B199" s="2">
        <v>46100</v>
      </c>
      <c r="C199" t="s">
        <v>374</v>
      </c>
      <c r="D199" t="s">
        <v>29</v>
      </c>
      <c r="E199" t="s">
        <v>50</v>
      </c>
      <c r="F199" s="3">
        <v>1686.2</v>
      </c>
      <c r="G199" t="s">
        <v>15</v>
      </c>
      <c r="I199" t="s">
        <v>25</v>
      </c>
      <c r="J199" t="s">
        <v>17</v>
      </c>
      <c r="K199" t="s">
        <v>18</v>
      </c>
    </row>
    <row r="200" spans="1:11" x14ac:dyDescent="0.3">
      <c r="A200" t="s">
        <v>375</v>
      </c>
      <c r="B200" s="2">
        <v>46064</v>
      </c>
      <c r="C200" t="s">
        <v>368</v>
      </c>
      <c r="D200" t="s">
        <v>36</v>
      </c>
      <c r="E200" t="s">
        <v>50</v>
      </c>
      <c r="F200" s="3">
        <v>4223.22</v>
      </c>
      <c r="G200" t="s">
        <v>15</v>
      </c>
      <c r="I200" t="s">
        <v>25</v>
      </c>
      <c r="J200" t="s">
        <v>17</v>
      </c>
      <c r="K200" t="s">
        <v>26</v>
      </c>
    </row>
    <row r="201" spans="1:11" x14ac:dyDescent="0.3">
      <c r="A201" t="s">
        <v>376</v>
      </c>
      <c r="B201" s="2">
        <v>46131</v>
      </c>
      <c r="C201" t="s">
        <v>109</v>
      </c>
      <c r="D201" t="s">
        <v>13</v>
      </c>
      <c r="E201" t="s">
        <v>22</v>
      </c>
      <c r="F201" s="3">
        <v>792.26</v>
      </c>
      <c r="G201" t="s">
        <v>15</v>
      </c>
      <c r="I201" t="s">
        <v>45</v>
      </c>
      <c r="J201" t="s">
        <v>17</v>
      </c>
      <c r="K201" t="s">
        <v>18</v>
      </c>
    </row>
    <row r="202" spans="1:11" x14ac:dyDescent="0.3">
      <c r="A202" t="s">
        <v>377</v>
      </c>
      <c r="B202" s="2">
        <v>46218</v>
      </c>
      <c r="C202" t="s">
        <v>378</v>
      </c>
      <c r="D202" t="s">
        <v>36</v>
      </c>
      <c r="E202" t="s">
        <v>50</v>
      </c>
      <c r="F202" s="3">
        <v>3038.11</v>
      </c>
      <c r="G202" t="s">
        <v>15</v>
      </c>
      <c r="I202" t="s">
        <v>30</v>
      </c>
      <c r="J202" t="s">
        <v>17</v>
      </c>
      <c r="K202" t="s">
        <v>18</v>
      </c>
    </row>
    <row r="203" spans="1:11" x14ac:dyDescent="0.3">
      <c r="A203" t="s">
        <v>379</v>
      </c>
      <c r="B203" s="2">
        <v>46080</v>
      </c>
      <c r="C203" t="s">
        <v>107</v>
      </c>
      <c r="D203" t="s">
        <v>84</v>
      </c>
      <c r="E203" t="s">
        <v>22</v>
      </c>
      <c r="F203" s="3">
        <v>1021.35</v>
      </c>
      <c r="G203" t="s">
        <v>149</v>
      </c>
      <c r="I203" t="s">
        <v>16</v>
      </c>
      <c r="J203" t="s">
        <v>17</v>
      </c>
      <c r="K203" t="s">
        <v>18</v>
      </c>
    </row>
    <row r="204" spans="1:11" x14ac:dyDescent="0.3">
      <c r="A204" t="s">
        <v>380</v>
      </c>
      <c r="B204" s="2">
        <v>46138</v>
      </c>
      <c r="C204" t="s">
        <v>381</v>
      </c>
      <c r="D204" t="s">
        <v>13</v>
      </c>
      <c r="E204" t="s">
        <v>44</v>
      </c>
      <c r="F204" s="3">
        <v>1290.01</v>
      </c>
      <c r="G204" t="s">
        <v>15</v>
      </c>
      <c r="I204" t="s">
        <v>100</v>
      </c>
      <c r="J204" t="s">
        <v>41</v>
      </c>
      <c r="K204" t="s">
        <v>18</v>
      </c>
    </row>
    <row r="205" spans="1:11" x14ac:dyDescent="0.3">
      <c r="A205" t="s">
        <v>382</v>
      </c>
      <c r="B205" s="2">
        <v>46180</v>
      </c>
      <c r="C205" t="s">
        <v>93</v>
      </c>
      <c r="D205" t="s">
        <v>36</v>
      </c>
      <c r="E205" t="s">
        <v>22</v>
      </c>
      <c r="F205" s="3">
        <v>720.12</v>
      </c>
      <c r="G205" t="s">
        <v>15</v>
      </c>
      <c r="I205" t="s">
        <v>45</v>
      </c>
      <c r="J205" t="s">
        <v>17</v>
      </c>
      <c r="K205" t="s">
        <v>47</v>
      </c>
    </row>
    <row r="206" spans="1:11" x14ac:dyDescent="0.3">
      <c r="A206" t="s">
        <v>383</v>
      </c>
      <c r="B206" s="2">
        <v>46259</v>
      </c>
      <c r="C206" t="s">
        <v>271</v>
      </c>
      <c r="D206" t="s">
        <v>36</v>
      </c>
      <c r="E206" t="s">
        <v>50</v>
      </c>
      <c r="F206" s="3">
        <v>682.05</v>
      </c>
      <c r="G206" t="s">
        <v>23</v>
      </c>
      <c r="H206" t="s">
        <v>162</v>
      </c>
      <c r="I206" t="s">
        <v>25</v>
      </c>
      <c r="J206" t="s">
        <v>17</v>
      </c>
      <c r="K206" t="s">
        <v>26</v>
      </c>
    </row>
    <row r="207" spans="1:11" x14ac:dyDescent="0.3">
      <c r="A207" t="s">
        <v>384</v>
      </c>
      <c r="B207" s="2">
        <v>46060</v>
      </c>
      <c r="C207" t="s">
        <v>135</v>
      </c>
      <c r="D207" t="s">
        <v>13</v>
      </c>
      <c r="E207" t="s">
        <v>22</v>
      </c>
      <c r="F207" s="3">
        <v>2169.09</v>
      </c>
      <c r="G207" t="s">
        <v>15</v>
      </c>
      <c r="I207" t="s">
        <v>25</v>
      </c>
      <c r="J207" t="s">
        <v>17</v>
      </c>
      <c r="K207" t="s">
        <v>18</v>
      </c>
    </row>
    <row r="208" spans="1:11" x14ac:dyDescent="0.3">
      <c r="A208" t="s">
        <v>385</v>
      </c>
      <c r="B208" s="2">
        <v>46280</v>
      </c>
      <c r="C208" t="s">
        <v>282</v>
      </c>
      <c r="D208" t="s">
        <v>36</v>
      </c>
      <c r="E208" t="s">
        <v>22</v>
      </c>
      <c r="F208" s="3">
        <v>1281.0899999999999</v>
      </c>
      <c r="G208" t="s">
        <v>15</v>
      </c>
      <c r="I208" t="s">
        <v>25</v>
      </c>
      <c r="J208" t="s">
        <v>17</v>
      </c>
      <c r="K208" t="s">
        <v>26</v>
      </c>
    </row>
    <row r="209" spans="1:11" x14ac:dyDescent="0.3">
      <c r="A209" t="s">
        <v>386</v>
      </c>
      <c r="B209" s="2">
        <v>46165</v>
      </c>
      <c r="C209" t="s">
        <v>387</v>
      </c>
      <c r="D209" t="s">
        <v>13</v>
      </c>
      <c r="E209" t="s">
        <v>44</v>
      </c>
      <c r="F209" s="3">
        <v>2040.89</v>
      </c>
      <c r="G209" t="s">
        <v>15</v>
      </c>
      <c r="I209" t="s">
        <v>33</v>
      </c>
      <c r="J209" t="s">
        <v>17</v>
      </c>
      <c r="K209" t="s">
        <v>47</v>
      </c>
    </row>
    <row r="210" spans="1:11" x14ac:dyDescent="0.3">
      <c r="A210" t="s">
        <v>388</v>
      </c>
      <c r="B210" s="2">
        <v>46180</v>
      </c>
      <c r="C210" t="s">
        <v>389</v>
      </c>
      <c r="D210" t="s">
        <v>29</v>
      </c>
      <c r="E210" t="s">
        <v>22</v>
      </c>
      <c r="F210" s="3">
        <v>1837.95</v>
      </c>
      <c r="G210" t="s">
        <v>15</v>
      </c>
      <c r="I210" t="s">
        <v>16</v>
      </c>
      <c r="J210" t="s">
        <v>17</v>
      </c>
      <c r="K210" t="s">
        <v>18</v>
      </c>
    </row>
    <row r="211" spans="1:11" x14ac:dyDescent="0.3">
      <c r="A211" t="s">
        <v>390</v>
      </c>
      <c r="B211" s="2">
        <v>46228</v>
      </c>
      <c r="C211" t="s">
        <v>166</v>
      </c>
      <c r="D211" t="s">
        <v>84</v>
      </c>
      <c r="E211" t="s">
        <v>44</v>
      </c>
      <c r="F211" s="3">
        <v>1881.4</v>
      </c>
      <c r="G211" t="s">
        <v>15</v>
      </c>
      <c r="I211" t="s">
        <v>45</v>
      </c>
      <c r="J211" t="s">
        <v>17</v>
      </c>
      <c r="K211" t="s">
        <v>18</v>
      </c>
    </row>
    <row r="212" spans="1:11" x14ac:dyDescent="0.3">
      <c r="A212" t="s">
        <v>391</v>
      </c>
      <c r="B212" s="2">
        <v>46292</v>
      </c>
      <c r="C212" t="s">
        <v>392</v>
      </c>
      <c r="D212" t="s">
        <v>29</v>
      </c>
      <c r="E212" t="s">
        <v>44</v>
      </c>
      <c r="F212" s="3">
        <v>814.75</v>
      </c>
      <c r="G212" t="s">
        <v>15</v>
      </c>
      <c r="I212" t="s">
        <v>100</v>
      </c>
      <c r="J212" t="s">
        <v>17</v>
      </c>
      <c r="K212" t="s">
        <v>18</v>
      </c>
    </row>
    <row r="213" spans="1:11" x14ac:dyDescent="0.3">
      <c r="A213" t="s">
        <v>393</v>
      </c>
      <c r="B213" s="2">
        <v>46101</v>
      </c>
      <c r="C213" t="s">
        <v>394</v>
      </c>
      <c r="D213" t="s">
        <v>36</v>
      </c>
      <c r="E213" t="s">
        <v>44</v>
      </c>
      <c r="F213" s="3">
        <v>2413.6799999999998</v>
      </c>
      <c r="G213" t="s">
        <v>15</v>
      </c>
      <c r="I213" t="s">
        <v>33</v>
      </c>
      <c r="J213" t="s">
        <v>46</v>
      </c>
      <c r="K213" t="s">
        <v>18</v>
      </c>
    </row>
    <row r="214" spans="1:11" x14ac:dyDescent="0.3">
      <c r="A214" t="s">
        <v>395</v>
      </c>
      <c r="B214" s="2">
        <v>46042</v>
      </c>
      <c r="C214" t="s">
        <v>294</v>
      </c>
      <c r="D214" t="s">
        <v>13</v>
      </c>
      <c r="E214" t="s">
        <v>50</v>
      </c>
      <c r="F214" s="3">
        <v>593.23</v>
      </c>
      <c r="G214" t="s">
        <v>15</v>
      </c>
      <c r="I214" t="s">
        <v>30</v>
      </c>
      <c r="J214" t="s">
        <v>17</v>
      </c>
      <c r="K214" t="s">
        <v>26</v>
      </c>
    </row>
    <row r="215" spans="1:11" x14ac:dyDescent="0.3">
      <c r="A215" t="s">
        <v>396</v>
      </c>
      <c r="B215" s="2">
        <v>46027</v>
      </c>
      <c r="C215" t="s">
        <v>397</v>
      </c>
      <c r="D215" t="s">
        <v>84</v>
      </c>
      <c r="E215" t="s">
        <v>14</v>
      </c>
      <c r="F215" s="3">
        <v>1077.08</v>
      </c>
      <c r="G215" t="s">
        <v>15</v>
      </c>
      <c r="I215" t="s">
        <v>45</v>
      </c>
      <c r="J215" t="s">
        <v>17</v>
      </c>
      <c r="K215" t="s">
        <v>47</v>
      </c>
    </row>
    <row r="216" spans="1:11" x14ac:dyDescent="0.3">
      <c r="A216" t="s">
        <v>398</v>
      </c>
      <c r="B216" s="2">
        <v>46105</v>
      </c>
      <c r="C216" t="s">
        <v>399</v>
      </c>
      <c r="D216" t="s">
        <v>36</v>
      </c>
      <c r="E216" t="s">
        <v>22</v>
      </c>
      <c r="F216" s="3">
        <v>705.02</v>
      </c>
      <c r="G216" t="s">
        <v>15</v>
      </c>
      <c r="I216" t="s">
        <v>45</v>
      </c>
      <c r="J216" t="s">
        <v>17</v>
      </c>
      <c r="K216" t="s">
        <v>47</v>
      </c>
    </row>
    <row r="217" spans="1:11" x14ac:dyDescent="0.3">
      <c r="A217" t="s">
        <v>400</v>
      </c>
      <c r="B217" s="2">
        <v>46243</v>
      </c>
      <c r="C217" t="s">
        <v>258</v>
      </c>
      <c r="D217" t="s">
        <v>36</v>
      </c>
      <c r="E217" t="s">
        <v>50</v>
      </c>
      <c r="F217" s="3">
        <v>2277.6999999999998</v>
      </c>
      <c r="G217" t="s">
        <v>23</v>
      </c>
      <c r="H217" t="s">
        <v>70</v>
      </c>
      <c r="I217" t="s">
        <v>25</v>
      </c>
      <c r="J217" t="s">
        <v>17</v>
      </c>
      <c r="K217" t="s">
        <v>18</v>
      </c>
    </row>
    <row r="218" spans="1:11" x14ac:dyDescent="0.3">
      <c r="A218" t="s">
        <v>401</v>
      </c>
      <c r="B218" s="2">
        <v>46029</v>
      </c>
      <c r="C218" t="s">
        <v>402</v>
      </c>
      <c r="D218" t="s">
        <v>13</v>
      </c>
      <c r="E218" t="s">
        <v>22</v>
      </c>
      <c r="F218" s="3">
        <v>279.24</v>
      </c>
      <c r="G218" t="s">
        <v>15</v>
      </c>
      <c r="I218" t="s">
        <v>25</v>
      </c>
      <c r="J218" t="s">
        <v>46</v>
      </c>
      <c r="K218" t="s">
        <v>18</v>
      </c>
    </row>
    <row r="219" spans="1:11" x14ac:dyDescent="0.3">
      <c r="A219" t="s">
        <v>403</v>
      </c>
      <c r="B219" s="2">
        <v>46268</v>
      </c>
      <c r="C219" t="s">
        <v>404</v>
      </c>
      <c r="D219" t="s">
        <v>13</v>
      </c>
      <c r="E219" t="s">
        <v>14</v>
      </c>
      <c r="F219" s="3">
        <v>9089.3799999999992</v>
      </c>
      <c r="G219" t="s">
        <v>15</v>
      </c>
      <c r="I219" t="s">
        <v>40</v>
      </c>
      <c r="J219" t="s">
        <v>41</v>
      </c>
      <c r="K219" t="s">
        <v>18</v>
      </c>
    </row>
    <row r="220" spans="1:11" x14ac:dyDescent="0.3">
      <c r="A220" t="s">
        <v>405</v>
      </c>
      <c r="B220" s="2">
        <v>46235</v>
      </c>
      <c r="C220" t="s">
        <v>406</v>
      </c>
      <c r="D220" t="s">
        <v>13</v>
      </c>
      <c r="E220" t="s">
        <v>22</v>
      </c>
      <c r="F220" s="3">
        <v>1639.68</v>
      </c>
      <c r="G220" t="s">
        <v>15</v>
      </c>
      <c r="I220" t="s">
        <v>100</v>
      </c>
      <c r="J220" t="s">
        <v>17</v>
      </c>
      <c r="K220" t="s">
        <v>18</v>
      </c>
    </row>
    <row r="221" spans="1:11" x14ac:dyDescent="0.3">
      <c r="A221" t="s">
        <v>407</v>
      </c>
      <c r="B221" s="2">
        <v>46213</v>
      </c>
      <c r="C221" t="s">
        <v>387</v>
      </c>
      <c r="D221" t="s">
        <v>13</v>
      </c>
      <c r="E221" t="s">
        <v>22</v>
      </c>
      <c r="F221" s="3">
        <v>2689.78</v>
      </c>
      <c r="G221" t="s">
        <v>15</v>
      </c>
      <c r="I221" t="s">
        <v>40</v>
      </c>
      <c r="J221" t="s">
        <v>17</v>
      </c>
      <c r="K221" t="s">
        <v>47</v>
      </c>
    </row>
    <row r="222" spans="1:11" x14ac:dyDescent="0.3">
      <c r="A222" t="s">
        <v>408</v>
      </c>
      <c r="B222" s="2">
        <v>46254</v>
      </c>
      <c r="C222" t="s">
        <v>208</v>
      </c>
      <c r="D222" t="s">
        <v>84</v>
      </c>
      <c r="E222" t="s">
        <v>39</v>
      </c>
      <c r="F222" s="3">
        <v>1672.68</v>
      </c>
      <c r="G222" t="s">
        <v>15</v>
      </c>
      <c r="I222" t="s">
        <v>100</v>
      </c>
      <c r="J222" t="s">
        <v>46</v>
      </c>
      <c r="K222" t="s">
        <v>18</v>
      </c>
    </row>
    <row r="223" spans="1:11" x14ac:dyDescent="0.3">
      <c r="A223" t="s">
        <v>409</v>
      </c>
      <c r="B223" s="2">
        <v>46151</v>
      </c>
      <c r="C223" t="s">
        <v>410</v>
      </c>
      <c r="D223" t="s">
        <v>13</v>
      </c>
      <c r="E223" t="s">
        <v>39</v>
      </c>
      <c r="F223" s="3">
        <v>2964.67</v>
      </c>
      <c r="G223" t="s">
        <v>23</v>
      </c>
      <c r="H223" t="s">
        <v>162</v>
      </c>
      <c r="I223" t="s">
        <v>45</v>
      </c>
      <c r="J223" t="s">
        <v>41</v>
      </c>
      <c r="K223" t="s">
        <v>18</v>
      </c>
    </row>
    <row r="224" spans="1:11" x14ac:dyDescent="0.3">
      <c r="A224" t="s">
        <v>411</v>
      </c>
      <c r="B224" s="2">
        <v>46225</v>
      </c>
      <c r="C224" t="s">
        <v>412</v>
      </c>
      <c r="D224" t="s">
        <v>29</v>
      </c>
      <c r="E224" t="s">
        <v>22</v>
      </c>
      <c r="F224" s="3">
        <v>193.7</v>
      </c>
      <c r="G224" t="s">
        <v>23</v>
      </c>
      <c r="H224" t="s">
        <v>162</v>
      </c>
      <c r="I224" t="s">
        <v>16</v>
      </c>
      <c r="J224" t="s">
        <v>46</v>
      </c>
      <c r="K224" t="s">
        <v>18</v>
      </c>
    </row>
    <row r="225" spans="1:11" x14ac:dyDescent="0.3">
      <c r="A225" t="s">
        <v>413</v>
      </c>
      <c r="B225" s="2">
        <v>46109</v>
      </c>
      <c r="C225" t="s">
        <v>414</v>
      </c>
      <c r="D225" t="s">
        <v>13</v>
      </c>
      <c r="E225" t="s">
        <v>50</v>
      </c>
      <c r="F225" s="3">
        <v>1115.54</v>
      </c>
      <c r="G225" t="s">
        <v>15</v>
      </c>
      <c r="I225" t="s">
        <v>65</v>
      </c>
      <c r="J225" t="s">
        <v>17</v>
      </c>
      <c r="K225" t="s">
        <v>26</v>
      </c>
    </row>
    <row r="226" spans="1:11" x14ac:dyDescent="0.3">
      <c r="A226" t="s">
        <v>415</v>
      </c>
      <c r="B226" s="2">
        <v>46174</v>
      </c>
      <c r="C226" t="s">
        <v>32</v>
      </c>
      <c r="D226" t="s">
        <v>36</v>
      </c>
      <c r="E226" t="s">
        <v>22</v>
      </c>
      <c r="F226" s="3">
        <v>1209.05</v>
      </c>
      <c r="G226" t="s">
        <v>15</v>
      </c>
      <c r="I226" t="s">
        <v>30</v>
      </c>
      <c r="J226" t="s">
        <v>46</v>
      </c>
      <c r="K226" t="s">
        <v>47</v>
      </c>
    </row>
    <row r="227" spans="1:11" x14ac:dyDescent="0.3">
      <c r="A227" t="s">
        <v>416</v>
      </c>
      <c r="B227" s="2">
        <v>46283</v>
      </c>
      <c r="C227" t="s">
        <v>184</v>
      </c>
      <c r="D227" t="s">
        <v>84</v>
      </c>
      <c r="E227" t="s">
        <v>22</v>
      </c>
      <c r="F227" s="3">
        <v>798.81</v>
      </c>
      <c r="G227" t="s">
        <v>23</v>
      </c>
      <c r="H227" t="s">
        <v>81</v>
      </c>
      <c r="I227" t="s">
        <v>25</v>
      </c>
      <c r="J227" t="s">
        <v>17</v>
      </c>
      <c r="K227" t="s">
        <v>18</v>
      </c>
    </row>
    <row r="228" spans="1:11" x14ac:dyDescent="0.3">
      <c r="A228" t="s">
        <v>417</v>
      </c>
      <c r="B228" s="2">
        <v>46071</v>
      </c>
      <c r="C228" t="s">
        <v>256</v>
      </c>
      <c r="D228" t="s">
        <v>29</v>
      </c>
      <c r="E228" t="s">
        <v>22</v>
      </c>
      <c r="F228" s="3">
        <v>628.94000000000005</v>
      </c>
      <c r="G228" t="s">
        <v>15</v>
      </c>
      <c r="I228" t="s">
        <v>40</v>
      </c>
      <c r="J228" t="s">
        <v>17</v>
      </c>
      <c r="K228" t="s">
        <v>47</v>
      </c>
    </row>
    <row r="229" spans="1:11" x14ac:dyDescent="0.3">
      <c r="A229" t="s">
        <v>418</v>
      </c>
      <c r="B229" s="2">
        <v>46162</v>
      </c>
      <c r="C229" t="s">
        <v>419</v>
      </c>
      <c r="D229" t="s">
        <v>84</v>
      </c>
      <c r="E229" t="s">
        <v>22</v>
      </c>
      <c r="F229" s="3">
        <v>620.01</v>
      </c>
      <c r="G229" t="s">
        <v>15</v>
      </c>
      <c r="I229" t="s">
        <v>25</v>
      </c>
      <c r="J229" t="s">
        <v>17</v>
      </c>
      <c r="K229" t="s">
        <v>47</v>
      </c>
    </row>
    <row r="230" spans="1:11" x14ac:dyDescent="0.3">
      <c r="A230" t="s">
        <v>420</v>
      </c>
      <c r="B230" s="2">
        <v>46248</v>
      </c>
      <c r="C230" t="s">
        <v>340</v>
      </c>
      <c r="D230" t="s">
        <v>29</v>
      </c>
      <c r="E230" t="s">
        <v>44</v>
      </c>
      <c r="F230" s="3">
        <v>912.66</v>
      </c>
      <c r="G230" t="s">
        <v>15</v>
      </c>
      <c r="I230" t="s">
        <v>45</v>
      </c>
      <c r="J230" t="s">
        <v>17</v>
      </c>
      <c r="K230" t="s">
        <v>18</v>
      </c>
    </row>
    <row r="231" spans="1:11" x14ac:dyDescent="0.3">
      <c r="A231" t="s">
        <v>421</v>
      </c>
      <c r="B231" s="2">
        <v>46235</v>
      </c>
      <c r="C231" t="s">
        <v>172</v>
      </c>
      <c r="D231" t="s">
        <v>21</v>
      </c>
      <c r="E231" t="s">
        <v>50</v>
      </c>
      <c r="F231" s="3">
        <v>639.49</v>
      </c>
      <c r="G231" t="s">
        <v>15</v>
      </c>
      <c r="I231" t="s">
        <v>25</v>
      </c>
      <c r="J231" t="s">
        <v>17</v>
      </c>
      <c r="K231" t="s">
        <v>47</v>
      </c>
    </row>
    <row r="232" spans="1:11" x14ac:dyDescent="0.3">
      <c r="A232" t="s">
        <v>422</v>
      </c>
      <c r="B232" s="2">
        <v>46141</v>
      </c>
      <c r="C232" t="s">
        <v>423</v>
      </c>
      <c r="D232" t="s">
        <v>13</v>
      </c>
      <c r="E232" t="s">
        <v>22</v>
      </c>
      <c r="F232" s="3">
        <v>922.97</v>
      </c>
      <c r="G232" t="s">
        <v>15</v>
      </c>
      <c r="I232" t="s">
        <v>100</v>
      </c>
      <c r="J232" t="s">
        <v>17</v>
      </c>
      <c r="K232" t="s">
        <v>47</v>
      </c>
    </row>
    <row r="233" spans="1:11" x14ac:dyDescent="0.3">
      <c r="A233" t="s">
        <v>424</v>
      </c>
      <c r="B233" s="2">
        <v>46157</v>
      </c>
      <c r="C233" t="s">
        <v>404</v>
      </c>
      <c r="D233" t="s">
        <v>21</v>
      </c>
      <c r="E233" t="s">
        <v>22</v>
      </c>
      <c r="F233" s="3">
        <v>1811.99</v>
      </c>
      <c r="G233" t="s">
        <v>23</v>
      </c>
      <c r="H233" t="s">
        <v>162</v>
      </c>
      <c r="I233" t="s">
        <v>65</v>
      </c>
      <c r="J233" t="s">
        <v>17</v>
      </c>
      <c r="K233" t="s">
        <v>47</v>
      </c>
    </row>
    <row r="234" spans="1:11" x14ac:dyDescent="0.3">
      <c r="A234" t="s">
        <v>425</v>
      </c>
      <c r="B234" s="2">
        <v>46280</v>
      </c>
      <c r="C234" t="s">
        <v>89</v>
      </c>
      <c r="D234" t="s">
        <v>21</v>
      </c>
      <c r="E234" t="s">
        <v>39</v>
      </c>
      <c r="F234" s="3">
        <v>1619.45</v>
      </c>
      <c r="G234" t="s">
        <v>15</v>
      </c>
      <c r="I234" t="s">
        <v>16</v>
      </c>
      <c r="J234" t="s">
        <v>41</v>
      </c>
      <c r="K234" t="s">
        <v>26</v>
      </c>
    </row>
    <row r="235" spans="1:11" x14ac:dyDescent="0.3">
      <c r="A235" t="s">
        <v>426</v>
      </c>
      <c r="B235" s="2">
        <v>46206</v>
      </c>
      <c r="C235" t="s">
        <v>427</v>
      </c>
      <c r="D235" t="s">
        <v>21</v>
      </c>
      <c r="E235" t="s">
        <v>50</v>
      </c>
      <c r="F235" s="3">
        <v>736.24</v>
      </c>
      <c r="G235" t="s">
        <v>15</v>
      </c>
      <c r="I235" t="s">
        <v>16</v>
      </c>
      <c r="J235" t="s">
        <v>41</v>
      </c>
      <c r="K235" t="s">
        <v>47</v>
      </c>
    </row>
    <row r="236" spans="1:11" x14ac:dyDescent="0.3">
      <c r="A236" t="s">
        <v>428</v>
      </c>
      <c r="B236" s="2">
        <v>46251</v>
      </c>
      <c r="C236" t="s">
        <v>429</v>
      </c>
      <c r="D236" t="s">
        <v>29</v>
      </c>
      <c r="E236" t="s">
        <v>22</v>
      </c>
      <c r="F236" s="3">
        <v>1081.6400000000001</v>
      </c>
      <c r="G236" t="s">
        <v>15</v>
      </c>
      <c r="I236" t="s">
        <v>33</v>
      </c>
      <c r="J236" t="s">
        <v>41</v>
      </c>
      <c r="K236" t="s">
        <v>47</v>
      </c>
    </row>
    <row r="237" spans="1:11" x14ac:dyDescent="0.3">
      <c r="A237" t="s">
        <v>430</v>
      </c>
      <c r="B237" s="2">
        <v>46032</v>
      </c>
      <c r="C237" t="s">
        <v>256</v>
      </c>
      <c r="D237" t="s">
        <v>21</v>
      </c>
      <c r="E237" t="s">
        <v>14</v>
      </c>
      <c r="F237" s="3">
        <v>479.07</v>
      </c>
      <c r="G237" t="s">
        <v>15</v>
      </c>
      <c r="I237" t="s">
        <v>30</v>
      </c>
      <c r="J237" t="s">
        <v>41</v>
      </c>
      <c r="K237" t="s">
        <v>18</v>
      </c>
    </row>
    <row r="238" spans="1:11" x14ac:dyDescent="0.3">
      <c r="A238" t="s">
        <v>431</v>
      </c>
      <c r="B238" s="2">
        <v>46108</v>
      </c>
      <c r="C238" t="s">
        <v>142</v>
      </c>
      <c r="D238" t="s">
        <v>29</v>
      </c>
      <c r="E238" t="s">
        <v>39</v>
      </c>
      <c r="F238" s="3">
        <v>1426.92</v>
      </c>
      <c r="G238" t="s">
        <v>15</v>
      </c>
      <c r="I238" t="s">
        <v>40</v>
      </c>
      <c r="J238" t="s">
        <v>41</v>
      </c>
      <c r="K238" t="s">
        <v>26</v>
      </c>
    </row>
    <row r="239" spans="1:11" x14ac:dyDescent="0.3">
      <c r="A239" t="s">
        <v>432</v>
      </c>
      <c r="B239" s="2">
        <v>46092</v>
      </c>
      <c r="C239" t="s">
        <v>97</v>
      </c>
      <c r="D239" t="s">
        <v>13</v>
      </c>
      <c r="E239" t="s">
        <v>39</v>
      </c>
      <c r="F239" s="3">
        <v>1432.81</v>
      </c>
      <c r="G239" t="s">
        <v>15</v>
      </c>
      <c r="I239" t="s">
        <v>40</v>
      </c>
      <c r="J239" t="s">
        <v>17</v>
      </c>
      <c r="K239" t="s">
        <v>18</v>
      </c>
    </row>
    <row r="240" spans="1:11" x14ac:dyDescent="0.3">
      <c r="A240" t="s">
        <v>433</v>
      </c>
      <c r="B240" s="2">
        <v>46249</v>
      </c>
      <c r="C240" t="s">
        <v>337</v>
      </c>
      <c r="D240" t="s">
        <v>13</v>
      </c>
      <c r="E240" t="s">
        <v>22</v>
      </c>
      <c r="F240" s="3">
        <v>1612.45</v>
      </c>
      <c r="G240" t="s">
        <v>15</v>
      </c>
      <c r="I240" t="s">
        <v>40</v>
      </c>
      <c r="J240" t="s">
        <v>17</v>
      </c>
      <c r="K240" t="s">
        <v>18</v>
      </c>
    </row>
    <row r="241" spans="1:11" x14ac:dyDescent="0.3">
      <c r="A241" t="s">
        <v>434</v>
      </c>
      <c r="B241" s="2">
        <v>46295</v>
      </c>
      <c r="C241" t="s">
        <v>435</v>
      </c>
      <c r="D241" t="s">
        <v>36</v>
      </c>
      <c r="E241" t="s">
        <v>50</v>
      </c>
      <c r="F241" s="3">
        <v>622.54</v>
      </c>
      <c r="G241" t="s">
        <v>15</v>
      </c>
      <c r="I241" t="s">
        <v>100</v>
      </c>
      <c r="J241" t="s">
        <v>17</v>
      </c>
      <c r="K241" t="s">
        <v>18</v>
      </c>
    </row>
    <row r="242" spans="1:11" x14ac:dyDescent="0.3">
      <c r="A242" t="s">
        <v>436</v>
      </c>
      <c r="B242" s="2">
        <v>46276</v>
      </c>
      <c r="C242" t="s">
        <v>414</v>
      </c>
      <c r="D242" t="s">
        <v>36</v>
      </c>
      <c r="E242" t="s">
        <v>50</v>
      </c>
      <c r="F242" s="3">
        <v>7898.14</v>
      </c>
      <c r="G242" t="s">
        <v>15</v>
      </c>
      <c r="I242" t="s">
        <v>33</v>
      </c>
      <c r="J242" t="s">
        <v>17</v>
      </c>
      <c r="K242" t="s">
        <v>26</v>
      </c>
    </row>
    <row r="243" spans="1:11" x14ac:dyDescent="0.3">
      <c r="A243" t="s">
        <v>437</v>
      </c>
      <c r="B243" s="2">
        <v>46131</v>
      </c>
      <c r="C243" t="s">
        <v>105</v>
      </c>
      <c r="D243" t="s">
        <v>84</v>
      </c>
      <c r="E243" t="s">
        <v>14</v>
      </c>
      <c r="F243" s="3">
        <v>930.7</v>
      </c>
      <c r="G243" t="s">
        <v>15</v>
      </c>
      <c r="I243" t="s">
        <v>25</v>
      </c>
      <c r="J243" t="s">
        <v>17</v>
      </c>
      <c r="K243" t="s">
        <v>47</v>
      </c>
    </row>
    <row r="244" spans="1:11" x14ac:dyDescent="0.3">
      <c r="A244" t="s">
        <v>438</v>
      </c>
      <c r="B244" s="2">
        <v>46250</v>
      </c>
      <c r="C244" t="s">
        <v>439</v>
      </c>
      <c r="D244" t="s">
        <v>36</v>
      </c>
      <c r="E244" t="s">
        <v>22</v>
      </c>
      <c r="F244" s="3">
        <v>1573.31</v>
      </c>
      <c r="G244" t="s">
        <v>149</v>
      </c>
      <c r="I244" t="s">
        <v>45</v>
      </c>
      <c r="J244" t="s">
        <v>17</v>
      </c>
      <c r="K244" t="s">
        <v>26</v>
      </c>
    </row>
    <row r="245" spans="1:11" x14ac:dyDescent="0.3">
      <c r="A245" t="s">
        <v>440</v>
      </c>
      <c r="B245" s="2">
        <v>46183</v>
      </c>
      <c r="C245" t="s">
        <v>394</v>
      </c>
      <c r="D245" t="s">
        <v>36</v>
      </c>
      <c r="E245" t="s">
        <v>22</v>
      </c>
      <c r="F245" s="3">
        <v>777.25</v>
      </c>
      <c r="G245" t="s">
        <v>15</v>
      </c>
      <c r="I245" t="s">
        <v>33</v>
      </c>
      <c r="J245" t="s">
        <v>41</v>
      </c>
      <c r="K245" t="s">
        <v>18</v>
      </c>
    </row>
    <row r="246" spans="1:11" x14ac:dyDescent="0.3">
      <c r="A246" t="s">
        <v>441</v>
      </c>
      <c r="B246" s="2">
        <v>46146</v>
      </c>
      <c r="C246" t="s">
        <v>442</v>
      </c>
      <c r="D246" t="s">
        <v>29</v>
      </c>
      <c r="E246" t="s">
        <v>50</v>
      </c>
      <c r="F246" s="3">
        <v>2948.52</v>
      </c>
      <c r="G246" t="s">
        <v>15</v>
      </c>
      <c r="I246" t="s">
        <v>33</v>
      </c>
      <c r="J246" t="s">
        <v>17</v>
      </c>
      <c r="K246" t="s">
        <v>18</v>
      </c>
    </row>
    <row r="247" spans="1:11" x14ac:dyDescent="0.3">
      <c r="A247" t="s">
        <v>443</v>
      </c>
      <c r="B247" s="2">
        <v>46276</v>
      </c>
      <c r="C247" t="s">
        <v>226</v>
      </c>
      <c r="D247" t="s">
        <v>29</v>
      </c>
      <c r="E247" t="s">
        <v>50</v>
      </c>
      <c r="F247" s="3">
        <v>280.64</v>
      </c>
      <c r="G247" t="s">
        <v>15</v>
      </c>
      <c r="I247" t="s">
        <v>30</v>
      </c>
      <c r="J247" t="s">
        <v>17</v>
      </c>
      <c r="K247" t="s">
        <v>47</v>
      </c>
    </row>
    <row r="248" spans="1:11" x14ac:dyDescent="0.3">
      <c r="A248" t="s">
        <v>444</v>
      </c>
      <c r="B248" s="2">
        <v>46091</v>
      </c>
      <c r="C248" t="s">
        <v>445</v>
      </c>
      <c r="D248" t="s">
        <v>84</v>
      </c>
      <c r="E248" t="s">
        <v>39</v>
      </c>
      <c r="F248" s="3">
        <v>910.01</v>
      </c>
      <c r="G248" t="s">
        <v>15</v>
      </c>
      <c r="I248" t="s">
        <v>65</v>
      </c>
      <c r="J248" t="s">
        <v>17</v>
      </c>
      <c r="K248" t="s">
        <v>18</v>
      </c>
    </row>
    <row r="249" spans="1:11" x14ac:dyDescent="0.3">
      <c r="A249" t="s">
        <v>446</v>
      </c>
      <c r="B249" s="2">
        <v>46151</v>
      </c>
      <c r="C249" t="s">
        <v>447</v>
      </c>
      <c r="D249" t="s">
        <v>36</v>
      </c>
      <c r="E249" t="s">
        <v>14</v>
      </c>
      <c r="F249" s="3">
        <v>1621.98</v>
      </c>
      <c r="G249" t="s">
        <v>15</v>
      </c>
      <c r="I249" t="s">
        <v>25</v>
      </c>
      <c r="J249" t="s">
        <v>17</v>
      </c>
      <c r="K249" t="s">
        <v>18</v>
      </c>
    </row>
    <row r="250" spans="1:11" x14ac:dyDescent="0.3">
      <c r="A250" t="s">
        <v>448</v>
      </c>
      <c r="B250" s="2">
        <v>46053</v>
      </c>
      <c r="C250" t="s">
        <v>237</v>
      </c>
      <c r="D250" t="s">
        <v>36</v>
      </c>
      <c r="E250" t="s">
        <v>22</v>
      </c>
      <c r="F250" s="3">
        <v>1152.5899999999999</v>
      </c>
      <c r="G250" t="s">
        <v>15</v>
      </c>
      <c r="I250" t="s">
        <v>40</v>
      </c>
      <c r="J250" t="s">
        <v>17</v>
      </c>
      <c r="K250" t="s">
        <v>18</v>
      </c>
    </row>
    <row r="251" spans="1:11" x14ac:dyDescent="0.3">
      <c r="A251" t="s">
        <v>449</v>
      </c>
      <c r="B251" s="2">
        <v>46292</v>
      </c>
      <c r="C251" t="s">
        <v>195</v>
      </c>
      <c r="D251" t="s">
        <v>84</v>
      </c>
      <c r="E251" t="s">
        <v>22</v>
      </c>
      <c r="F251" s="3">
        <v>2207.89</v>
      </c>
      <c r="G251" t="s">
        <v>15</v>
      </c>
      <c r="I251" t="s">
        <v>45</v>
      </c>
      <c r="J251" t="s">
        <v>41</v>
      </c>
      <c r="K251" t="s">
        <v>18</v>
      </c>
    </row>
    <row r="252" spans="1:11" x14ac:dyDescent="0.3">
      <c r="A252" t="s">
        <v>450</v>
      </c>
      <c r="B252" s="2">
        <v>46129</v>
      </c>
      <c r="C252" t="s">
        <v>451</v>
      </c>
      <c r="D252" t="s">
        <v>84</v>
      </c>
      <c r="E252" t="s">
        <v>22</v>
      </c>
      <c r="F252" s="3">
        <v>1295.06</v>
      </c>
      <c r="G252" t="s">
        <v>15</v>
      </c>
      <c r="I252" t="s">
        <v>65</v>
      </c>
      <c r="J252" t="s">
        <v>41</v>
      </c>
      <c r="K252" t="s">
        <v>47</v>
      </c>
    </row>
    <row r="253" spans="1:11" x14ac:dyDescent="0.3">
      <c r="A253" t="s">
        <v>452</v>
      </c>
      <c r="B253" s="2">
        <v>46176</v>
      </c>
      <c r="C253" t="s">
        <v>120</v>
      </c>
      <c r="D253" t="s">
        <v>29</v>
      </c>
      <c r="E253" t="s">
        <v>22</v>
      </c>
      <c r="F253" s="3">
        <v>513.79</v>
      </c>
      <c r="G253" t="s">
        <v>15</v>
      </c>
      <c r="I253" t="s">
        <v>100</v>
      </c>
      <c r="J253" t="s">
        <v>46</v>
      </c>
      <c r="K253" t="s">
        <v>18</v>
      </c>
    </row>
    <row r="254" spans="1:11" x14ac:dyDescent="0.3">
      <c r="A254" t="s">
        <v>453</v>
      </c>
      <c r="B254" s="2">
        <v>46183</v>
      </c>
      <c r="C254" t="s">
        <v>454</v>
      </c>
      <c r="D254" t="s">
        <v>29</v>
      </c>
      <c r="E254" t="s">
        <v>22</v>
      </c>
      <c r="F254" s="3">
        <v>871.32</v>
      </c>
      <c r="G254" t="s">
        <v>15</v>
      </c>
      <c r="I254" t="s">
        <v>45</v>
      </c>
      <c r="J254" t="s">
        <v>46</v>
      </c>
      <c r="K254" t="s">
        <v>18</v>
      </c>
    </row>
    <row r="255" spans="1:11" x14ac:dyDescent="0.3">
      <c r="A255" t="s">
        <v>455</v>
      </c>
      <c r="B255" s="2">
        <v>46191</v>
      </c>
      <c r="C255" t="s">
        <v>221</v>
      </c>
      <c r="D255" t="s">
        <v>29</v>
      </c>
      <c r="E255" t="s">
        <v>14</v>
      </c>
      <c r="F255" s="3">
        <v>799.27</v>
      </c>
      <c r="G255" t="s">
        <v>15</v>
      </c>
      <c r="I255" t="s">
        <v>45</v>
      </c>
      <c r="J255" t="s">
        <v>17</v>
      </c>
      <c r="K255" t="s">
        <v>18</v>
      </c>
    </row>
    <row r="256" spans="1:11" x14ac:dyDescent="0.3">
      <c r="A256" t="s">
        <v>456</v>
      </c>
      <c r="B256" s="2">
        <v>46027</v>
      </c>
      <c r="C256" t="s">
        <v>457</v>
      </c>
      <c r="D256" t="s">
        <v>13</v>
      </c>
      <c r="E256" t="s">
        <v>22</v>
      </c>
      <c r="F256" s="3">
        <v>857.3</v>
      </c>
      <c r="G256" t="s">
        <v>15</v>
      </c>
      <c r="I256" t="s">
        <v>16</v>
      </c>
      <c r="J256" t="s">
        <v>17</v>
      </c>
      <c r="K256" t="s">
        <v>18</v>
      </c>
    </row>
    <row r="257" spans="1:11" x14ac:dyDescent="0.3">
      <c r="A257" t="s">
        <v>458</v>
      </c>
      <c r="B257" s="2">
        <v>46081</v>
      </c>
      <c r="C257" t="s">
        <v>459</v>
      </c>
      <c r="D257" t="s">
        <v>21</v>
      </c>
      <c r="E257" t="s">
        <v>22</v>
      </c>
      <c r="F257" s="3">
        <v>5418.55</v>
      </c>
      <c r="G257" t="s">
        <v>23</v>
      </c>
      <c r="H257" t="s">
        <v>24</v>
      </c>
      <c r="I257" t="s">
        <v>16</v>
      </c>
      <c r="J257" t="s">
        <v>17</v>
      </c>
      <c r="K257" t="s">
        <v>18</v>
      </c>
    </row>
    <row r="258" spans="1:11" x14ac:dyDescent="0.3">
      <c r="A258" t="s">
        <v>460</v>
      </c>
      <c r="B258" s="2">
        <v>46090</v>
      </c>
      <c r="C258" t="s">
        <v>461</v>
      </c>
      <c r="D258" t="s">
        <v>13</v>
      </c>
      <c r="E258" t="s">
        <v>22</v>
      </c>
      <c r="F258" s="3">
        <v>1315.64</v>
      </c>
      <c r="G258" t="s">
        <v>15</v>
      </c>
      <c r="I258" t="s">
        <v>16</v>
      </c>
      <c r="J258" t="s">
        <v>46</v>
      </c>
      <c r="K258" t="s">
        <v>47</v>
      </c>
    </row>
    <row r="259" spans="1:11" x14ac:dyDescent="0.3">
      <c r="A259" t="s">
        <v>462</v>
      </c>
      <c r="B259" s="2">
        <v>46190</v>
      </c>
      <c r="C259" t="s">
        <v>463</v>
      </c>
      <c r="D259" t="s">
        <v>84</v>
      </c>
      <c r="E259" t="s">
        <v>44</v>
      </c>
      <c r="F259" s="3">
        <v>4058.57</v>
      </c>
      <c r="G259" t="s">
        <v>15</v>
      </c>
      <c r="I259" t="s">
        <v>45</v>
      </c>
      <c r="J259" t="s">
        <v>17</v>
      </c>
      <c r="K259" t="s">
        <v>18</v>
      </c>
    </row>
    <row r="260" spans="1:11" x14ac:dyDescent="0.3">
      <c r="A260" t="s">
        <v>464</v>
      </c>
      <c r="B260" s="2">
        <v>46066</v>
      </c>
      <c r="C260" t="s">
        <v>32</v>
      </c>
      <c r="D260" t="s">
        <v>36</v>
      </c>
      <c r="E260" t="s">
        <v>22</v>
      </c>
      <c r="F260" s="3">
        <v>1048.08</v>
      </c>
      <c r="G260" t="s">
        <v>15</v>
      </c>
      <c r="I260" t="s">
        <v>16</v>
      </c>
      <c r="J260" t="s">
        <v>41</v>
      </c>
      <c r="K260" t="s">
        <v>18</v>
      </c>
    </row>
    <row r="261" spans="1:11" x14ac:dyDescent="0.3">
      <c r="A261" t="s">
        <v>465</v>
      </c>
      <c r="B261" s="2">
        <v>46289</v>
      </c>
      <c r="C261" t="s">
        <v>466</v>
      </c>
      <c r="D261" t="s">
        <v>84</v>
      </c>
      <c r="E261" t="s">
        <v>22</v>
      </c>
      <c r="F261" s="3">
        <v>13159.61</v>
      </c>
      <c r="G261" t="s">
        <v>15</v>
      </c>
      <c r="I261" t="s">
        <v>65</v>
      </c>
      <c r="J261" t="s">
        <v>17</v>
      </c>
      <c r="K261" t="s">
        <v>26</v>
      </c>
    </row>
    <row r="262" spans="1:11" x14ac:dyDescent="0.3">
      <c r="A262" t="s">
        <v>467</v>
      </c>
      <c r="B262" s="2">
        <v>46094</v>
      </c>
      <c r="C262" t="s">
        <v>468</v>
      </c>
      <c r="D262" t="s">
        <v>84</v>
      </c>
      <c r="E262" t="s">
        <v>39</v>
      </c>
      <c r="F262" s="3">
        <v>857.98</v>
      </c>
      <c r="G262" t="s">
        <v>15</v>
      </c>
      <c r="I262" t="s">
        <v>40</v>
      </c>
      <c r="J262" t="s">
        <v>17</v>
      </c>
      <c r="K262" t="s">
        <v>18</v>
      </c>
    </row>
    <row r="263" spans="1:11" x14ac:dyDescent="0.3">
      <c r="A263" t="s">
        <v>469</v>
      </c>
      <c r="B263" s="2">
        <v>46281</v>
      </c>
      <c r="C263" t="s">
        <v>193</v>
      </c>
      <c r="D263" t="s">
        <v>21</v>
      </c>
      <c r="E263" t="s">
        <v>39</v>
      </c>
      <c r="F263" s="3">
        <v>3136.43</v>
      </c>
      <c r="G263" t="s">
        <v>15</v>
      </c>
      <c r="I263" t="s">
        <v>65</v>
      </c>
      <c r="J263" t="s">
        <v>17</v>
      </c>
      <c r="K263" t="s">
        <v>26</v>
      </c>
    </row>
    <row r="264" spans="1:11" x14ac:dyDescent="0.3">
      <c r="A264" t="s">
        <v>470</v>
      </c>
      <c r="B264" s="2">
        <v>46123</v>
      </c>
      <c r="C264" t="s">
        <v>471</v>
      </c>
      <c r="D264" t="s">
        <v>21</v>
      </c>
      <c r="E264" t="s">
        <v>22</v>
      </c>
      <c r="F264" s="3">
        <v>2156.9</v>
      </c>
      <c r="G264" t="s">
        <v>15</v>
      </c>
      <c r="I264" t="s">
        <v>65</v>
      </c>
      <c r="J264" t="s">
        <v>17</v>
      </c>
      <c r="K264" t="s">
        <v>26</v>
      </c>
    </row>
    <row r="265" spans="1:11" x14ac:dyDescent="0.3">
      <c r="A265" t="s">
        <v>472</v>
      </c>
      <c r="B265" s="2">
        <v>46085</v>
      </c>
      <c r="C265" t="s">
        <v>473</v>
      </c>
      <c r="D265" t="s">
        <v>13</v>
      </c>
      <c r="E265" t="s">
        <v>22</v>
      </c>
      <c r="F265" s="3">
        <v>1836.91</v>
      </c>
      <c r="G265" t="s">
        <v>149</v>
      </c>
      <c r="I265" t="s">
        <v>100</v>
      </c>
      <c r="J265" t="s">
        <v>41</v>
      </c>
      <c r="K265" t="s">
        <v>18</v>
      </c>
    </row>
    <row r="266" spans="1:11" x14ac:dyDescent="0.3">
      <c r="A266" t="s">
        <v>474</v>
      </c>
      <c r="B266" s="2">
        <v>46245</v>
      </c>
      <c r="C266" t="s">
        <v>202</v>
      </c>
      <c r="D266" t="s">
        <v>21</v>
      </c>
      <c r="E266" t="s">
        <v>50</v>
      </c>
      <c r="F266" s="3">
        <v>628.69000000000005</v>
      </c>
      <c r="G266" t="s">
        <v>15</v>
      </c>
      <c r="I266" t="s">
        <v>45</v>
      </c>
      <c r="J266" t="s">
        <v>17</v>
      </c>
      <c r="K266" t="s">
        <v>47</v>
      </c>
    </row>
    <row r="267" spans="1:11" x14ac:dyDescent="0.3">
      <c r="A267" t="s">
        <v>475</v>
      </c>
      <c r="B267" s="2">
        <v>46249</v>
      </c>
      <c r="C267" t="s">
        <v>261</v>
      </c>
      <c r="D267" t="s">
        <v>13</v>
      </c>
      <c r="E267" t="s">
        <v>22</v>
      </c>
      <c r="F267" s="3">
        <v>1576.14</v>
      </c>
      <c r="G267" t="s">
        <v>15</v>
      </c>
      <c r="I267" t="s">
        <v>45</v>
      </c>
      <c r="J267" t="s">
        <v>41</v>
      </c>
      <c r="K267" t="s">
        <v>18</v>
      </c>
    </row>
    <row r="268" spans="1:11" x14ac:dyDescent="0.3">
      <c r="A268" t="s">
        <v>476</v>
      </c>
      <c r="B268" s="2">
        <v>46235</v>
      </c>
      <c r="C268" t="s">
        <v>477</v>
      </c>
      <c r="D268" t="s">
        <v>84</v>
      </c>
      <c r="E268" t="s">
        <v>39</v>
      </c>
      <c r="F268" s="3">
        <v>2085.25</v>
      </c>
      <c r="G268" t="s">
        <v>15</v>
      </c>
      <c r="I268" t="s">
        <v>65</v>
      </c>
      <c r="J268" t="s">
        <v>41</v>
      </c>
      <c r="K268" t="s">
        <v>47</v>
      </c>
    </row>
    <row r="269" spans="1:11" x14ac:dyDescent="0.3">
      <c r="A269" t="s">
        <v>478</v>
      </c>
      <c r="B269" s="2">
        <v>46185</v>
      </c>
      <c r="C269" t="s">
        <v>479</v>
      </c>
      <c r="D269" t="s">
        <v>29</v>
      </c>
      <c r="E269" t="s">
        <v>22</v>
      </c>
      <c r="F269" s="3">
        <v>784.35</v>
      </c>
      <c r="G269" t="s">
        <v>15</v>
      </c>
      <c r="I269" t="s">
        <v>30</v>
      </c>
      <c r="J269" t="s">
        <v>17</v>
      </c>
      <c r="K269" t="s">
        <v>26</v>
      </c>
    </row>
    <row r="270" spans="1:11" x14ac:dyDescent="0.3">
      <c r="A270" t="s">
        <v>480</v>
      </c>
      <c r="B270" s="2">
        <v>46172</v>
      </c>
      <c r="C270" t="s">
        <v>258</v>
      </c>
      <c r="D270" t="s">
        <v>21</v>
      </c>
      <c r="E270" t="s">
        <v>39</v>
      </c>
      <c r="F270" s="3">
        <v>2179.5100000000002</v>
      </c>
      <c r="G270" t="s">
        <v>15</v>
      </c>
      <c r="I270" t="s">
        <v>30</v>
      </c>
      <c r="J270" t="s">
        <v>17</v>
      </c>
      <c r="K270" t="s">
        <v>26</v>
      </c>
    </row>
    <row r="271" spans="1:11" x14ac:dyDescent="0.3">
      <c r="A271" t="s">
        <v>481</v>
      </c>
      <c r="B271" s="2">
        <v>46270</v>
      </c>
      <c r="C271" t="s">
        <v>482</v>
      </c>
      <c r="D271" t="s">
        <v>29</v>
      </c>
      <c r="E271" t="s">
        <v>22</v>
      </c>
      <c r="F271" s="3">
        <v>1908.5</v>
      </c>
      <c r="G271" t="s">
        <v>15</v>
      </c>
      <c r="I271" t="s">
        <v>33</v>
      </c>
      <c r="J271" t="s">
        <v>17</v>
      </c>
      <c r="K271" t="s">
        <v>47</v>
      </c>
    </row>
    <row r="272" spans="1:11" x14ac:dyDescent="0.3">
      <c r="A272" t="s">
        <v>483</v>
      </c>
      <c r="B272" s="2">
        <v>46089</v>
      </c>
      <c r="C272" t="s">
        <v>484</v>
      </c>
      <c r="D272" t="s">
        <v>13</v>
      </c>
      <c r="E272" t="s">
        <v>22</v>
      </c>
      <c r="F272" s="3">
        <v>1319.31</v>
      </c>
      <c r="G272" t="s">
        <v>15</v>
      </c>
      <c r="I272" t="s">
        <v>30</v>
      </c>
      <c r="J272" t="s">
        <v>41</v>
      </c>
      <c r="K272" t="s">
        <v>18</v>
      </c>
    </row>
    <row r="273" spans="1:11" x14ac:dyDescent="0.3">
      <c r="A273" t="s">
        <v>485</v>
      </c>
      <c r="B273" s="2">
        <v>46061</v>
      </c>
      <c r="C273" t="s">
        <v>102</v>
      </c>
      <c r="D273" t="s">
        <v>36</v>
      </c>
      <c r="E273" t="s">
        <v>39</v>
      </c>
      <c r="F273" s="3">
        <v>5137.25</v>
      </c>
      <c r="G273" t="s">
        <v>23</v>
      </c>
      <c r="H273" t="s">
        <v>138</v>
      </c>
      <c r="I273" t="s">
        <v>100</v>
      </c>
      <c r="J273" t="s">
        <v>46</v>
      </c>
      <c r="K273" t="s">
        <v>26</v>
      </c>
    </row>
    <row r="274" spans="1:11" x14ac:dyDescent="0.3">
      <c r="A274" t="s">
        <v>486</v>
      </c>
      <c r="B274" s="2">
        <v>46113</v>
      </c>
      <c r="C274" t="s">
        <v>177</v>
      </c>
      <c r="D274" t="s">
        <v>13</v>
      </c>
      <c r="E274" t="s">
        <v>22</v>
      </c>
      <c r="F274" s="3">
        <v>372.19</v>
      </c>
      <c r="G274" t="s">
        <v>15</v>
      </c>
      <c r="I274" t="s">
        <v>65</v>
      </c>
      <c r="J274" t="s">
        <v>17</v>
      </c>
      <c r="K274" t="s">
        <v>18</v>
      </c>
    </row>
    <row r="275" spans="1:11" x14ac:dyDescent="0.3">
      <c r="A275" t="s">
        <v>487</v>
      </c>
      <c r="B275" s="2">
        <v>46292</v>
      </c>
      <c r="C275" t="s">
        <v>410</v>
      </c>
      <c r="D275" t="s">
        <v>29</v>
      </c>
      <c r="E275" t="s">
        <v>39</v>
      </c>
      <c r="F275" s="3">
        <v>411.19</v>
      </c>
      <c r="G275" t="s">
        <v>15</v>
      </c>
      <c r="I275" t="s">
        <v>30</v>
      </c>
      <c r="J275" t="s">
        <v>46</v>
      </c>
      <c r="K275" t="s">
        <v>47</v>
      </c>
    </row>
    <row r="276" spans="1:11" x14ac:dyDescent="0.3">
      <c r="A276" t="s">
        <v>488</v>
      </c>
      <c r="B276" s="2">
        <v>46195</v>
      </c>
      <c r="C276" t="s">
        <v>489</v>
      </c>
      <c r="D276" t="s">
        <v>36</v>
      </c>
      <c r="E276" t="s">
        <v>22</v>
      </c>
      <c r="F276" s="3">
        <v>2336.88</v>
      </c>
      <c r="G276" t="s">
        <v>15</v>
      </c>
      <c r="I276" t="s">
        <v>25</v>
      </c>
      <c r="J276" t="s">
        <v>17</v>
      </c>
      <c r="K276" t="s">
        <v>18</v>
      </c>
    </row>
    <row r="277" spans="1:11" x14ac:dyDescent="0.3">
      <c r="A277" t="s">
        <v>490</v>
      </c>
      <c r="B277" s="2">
        <v>46287</v>
      </c>
      <c r="C277" t="s">
        <v>394</v>
      </c>
      <c r="D277" t="s">
        <v>36</v>
      </c>
      <c r="E277" t="s">
        <v>22</v>
      </c>
      <c r="F277" s="3">
        <v>808.36</v>
      </c>
      <c r="G277" t="s">
        <v>15</v>
      </c>
      <c r="I277" t="s">
        <v>45</v>
      </c>
      <c r="J277" t="s">
        <v>41</v>
      </c>
      <c r="K277" t="s">
        <v>18</v>
      </c>
    </row>
    <row r="278" spans="1:11" x14ac:dyDescent="0.3">
      <c r="A278" t="s">
        <v>491</v>
      </c>
      <c r="B278" s="2">
        <v>46244</v>
      </c>
      <c r="C278" t="s">
        <v>179</v>
      </c>
      <c r="D278" t="s">
        <v>84</v>
      </c>
      <c r="E278" t="s">
        <v>39</v>
      </c>
      <c r="F278" s="3">
        <v>733.88</v>
      </c>
      <c r="G278" t="s">
        <v>149</v>
      </c>
      <c r="I278" t="s">
        <v>45</v>
      </c>
      <c r="J278" t="s">
        <v>17</v>
      </c>
      <c r="K278" t="s">
        <v>18</v>
      </c>
    </row>
    <row r="279" spans="1:11" x14ac:dyDescent="0.3">
      <c r="A279" t="s">
        <v>492</v>
      </c>
      <c r="B279" s="2">
        <v>46038</v>
      </c>
      <c r="C279" t="s">
        <v>493</v>
      </c>
      <c r="D279" t="s">
        <v>29</v>
      </c>
      <c r="E279" t="s">
        <v>22</v>
      </c>
      <c r="F279" s="3">
        <v>1341.63</v>
      </c>
      <c r="G279" t="s">
        <v>149</v>
      </c>
      <c r="I279" t="s">
        <v>65</v>
      </c>
      <c r="J279" t="s">
        <v>17</v>
      </c>
      <c r="K279" t="s">
        <v>26</v>
      </c>
    </row>
    <row r="280" spans="1:11" x14ac:dyDescent="0.3">
      <c r="A280" t="s">
        <v>494</v>
      </c>
      <c r="B280" s="2">
        <v>46277</v>
      </c>
      <c r="C280" t="s">
        <v>495</v>
      </c>
      <c r="D280" t="s">
        <v>36</v>
      </c>
      <c r="E280" t="s">
        <v>22</v>
      </c>
      <c r="F280" s="3">
        <v>478.49</v>
      </c>
      <c r="G280" t="s">
        <v>15</v>
      </c>
      <c r="I280" t="s">
        <v>45</v>
      </c>
      <c r="J280" t="s">
        <v>41</v>
      </c>
      <c r="K280" t="s">
        <v>18</v>
      </c>
    </row>
    <row r="281" spans="1:11" x14ac:dyDescent="0.3">
      <c r="A281" t="s">
        <v>496</v>
      </c>
      <c r="B281" s="2">
        <v>46238</v>
      </c>
      <c r="C281" t="s">
        <v>161</v>
      </c>
      <c r="D281" t="s">
        <v>13</v>
      </c>
      <c r="E281" t="s">
        <v>44</v>
      </c>
      <c r="F281" s="3">
        <v>2163.85</v>
      </c>
      <c r="G281" t="s">
        <v>15</v>
      </c>
      <c r="I281" t="s">
        <v>16</v>
      </c>
      <c r="J281" t="s">
        <v>17</v>
      </c>
      <c r="K281" t="s">
        <v>18</v>
      </c>
    </row>
    <row r="282" spans="1:11" x14ac:dyDescent="0.3">
      <c r="A282" t="s">
        <v>497</v>
      </c>
      <c r="B282" s="2">
        <v>46037</v>
      </c>
      <c r="C282" t="s">
        <v>435</v>
      </c>
      <c r="D282" t="s">
        <v>13</v>
      </c>
      <c r="E282" t="s">
        <v>22</v>
      </c>
      <c r="F282" s="3">
        <v>2331.88</v>
      </c>
      <c r="G282" t="s">
        <v>15</v>
      </c>
      <c r="I282" t="s">
        <v>30</v>
      </c>
      <c r="J282" t="s">
        <v>17</v>
      </c>
      <c r="K282" t="s">
        <v>26</v>
      </c>
    </row>
    <row r="283" spans="1:11" x14ac:dyDescent="0.3">
      <c r="A283" t="s">
        <v>498</v>
      </c>
      <c r="B283" s="2">
        <v>46050</v>
      </c>
      <c r="C283" t="s">
        <v>499</v>
      </c>
      <c r="D283" t="s">
        <v>36</v>
      </c>
      <c r="E283" t="s">
        <v>22</v>
      </c>
      <c r="F283" s="3">
        <v>1425.94</v>
      </c>
      <c r="G283" t="s">
        <v>15</v>
      </c>
      <c r="I283" t="s">
        <v>100</v>
      </c>
      <c r="J283" t="s">
        <v>46</v>
      </c>
      <c r="K283" t="s">
        <v>18</v>
      </c>
    </row>
    <row r="284" spans="1:11" x14ac:dyDescent="0.3">
      <c r="A284" t="s">
        <v>500</v>
      </c>
      <c r="B284" s="2">
        <v>46279</v>
      </c>
      <c r="C284" t="s">
        <v>501</v>
      </c>
      <c r="D284" t="s">
        <v>84</v>
      </c>
      <c r="E284" t="s">
        <v>39</v>
      </c>
      <c r="F284" s="3">
        <v>751.73</v>
      </c>
      <c r="G284" t="s">
        <v>23</v>
      </c>
      <c r="H284" t="s">
        <v>138</v>
      </c>
      <c r="I284" t="s">
        <v>45</v>
      </c>
      <c r="J284" t="s">
        <v>17</v>
      </c>
      <c r="K284" t="s">
        <v>26</v>
      </c>
    </row>
    <row r="285" spans="1:11" x14ac:dyDescent="0.3">
      <c r="A285" t="s">
        <v>502</v>
      </c>
      <c r="B285" s="2">
        <v>46115</v>
      </c>
      <c r="C285" t="s">
        <v>164</v>
      </c>
      <c r="D285" t="s">
        <v>21</v>
      </c>
      <c r="E285" t="s">
        <v>22</v>
      </c>
      <c r="F285" s="3">
        <v>375.59</v>
      </c>
      <c r="G285" t="s">
        <v>15</v>
      </c>
      <c r="I285" t="s">
        <v>65</v>
      </c>
      <c r="J285" t="s">
        <v>17</v>
      </c>
      <c r="K285" t="s">
        <v>18</v>
      </c>
    </row>
    <row r="286" spans="1:11" x14ac:dyDescent="0.3">
      <c r="A286" t="s">
        <v>503</v>
      </c>
      <c r="B286" s="2">
        <v>46163</v>
      </c>
      <c r="C286" t="s">
        <v>164</v>
      </c>
      <c r="D286" t="s">
        <v>21</v>
      </c>
      <c r="E286" t="s">
        <v>22</v>
      </c>
      <c r="F286" s="3">
        <v>2862.18</v>
      </c>
      <c r="G286" t="s">
        <v>15</v>
      </c>
      <c r="I286" t="s">
        <v>33</v>
      </c>
      <c r="J286" t="s">
        <v>17</v>
      </c>
      <c r="K286" t="s">
        <v>18</v>
      </c>
    </row>
    <row r="287" spans="1:11" x14ac:dyDescent="0.3">
      <c r="A287" t="s">
        <v>504</v>
      </c>
      <c r="B287" s="2">
        <v>46214</v>
      </c>
      <c r="C287" t="s">
        <v>505</v>
      </c>
      <c r="D287" t="s">
        <v>21</v>
      </c>
      <c r="E287" t="s">
        <v>22</v>
      </c>
      <c r="F287" s="3">
        <v>1314.11</v>
      </c>
      <c r="G287" t="s">
        <v>15</v>
      </c>
      <c r="I287" t="s">
        <v>25</v>
      </c>
      <c r="J287" t="s">
        <v>46</v>
      </c>
      <c r="K287" t="s">
        <v>18</v>
      </c>
    </row>
    <row r="288" spans="1:11" x14ac:dyDescent="0.3">
      <c r="A288" t="s">
        <v>506</v>
      </c>
      <c r="B288" s="2">
        <v>46039</v>
      </c>
      <c r="C288" t="s">
        <v>507</v>
      </c>
      <c r="D288" t="s">
        <v>29</v>
      </c>
      <c r="E288" t="s">
        <v>22</v>
      </c>
      <c r="F288" s="3">
        <v>944.62</v>
      </c>
      <c r="G288" t="s">
        <v>149</v>
      </c>
      <c r="I288" t="s">
        <v>16</v>
      </c>
      <c r="J288" t="s">
        <v>17</v>
      </c>
      <c r="K288" t="s">
        <v>26</v>
      </c>
    </row>
    <row r="289" spans="1:11" x14ac:dyDescent="0.3">
      <c r="A289" t="s">
        <v>508</v>
      </c>
      <c r="B289" s="2">
        <v>46149</v>
      </c>
      <c r="C289" t="s">
        <v>111</v>
      </c>
      <c r="D289" t="s">
        <v>29</v>
      </c>
      <c r="E289" t="s">
        <v>22</v>
      </c>
      <c r="F289" s="3">
        <v>660.54</v>
      </c>
      <c r="G289" t="s">
        <v>23</v>
      </c>
      <c r="H289" t="s">
        <v>162</v>
      </c>
      <c r="I289" t="s">
        <v>65</v>
      </c>
      <c r="J289" t="s">
        <v>17</v>
      </c>
      <c r="K289" t="s">
        <v>18</v>
      </c>
    </row>
    <row r="290" spans="1:11" x14ac:dyDescent="0.3">
      <c r="A290" t="s">
        <v>509</v>
      </c>
      <c r="B290" s="2">
        <v>46290</v>
      </c>
      <c r="C290" t="s">
        <v>510</v>
      </c>
      <c r="D290" t="s">
        <v>36</v>
      </c>
      <c r="E290" t="s">
        <v>14</v>
      </c>
      <c r="F290" s="3">
        <v>488.55</v>
      </c>
      <c r="G290" t="s">
        <v>15</v>
      </c>
      <c r="I290" t="s">
        <v>40</v>
      </c>
      <c r="J290" t="s">
        <v>41</v>
      </c>
      <c r="K290" t="s">
        <v>47</v>
      </c>
    </row>
    <row r="291" spans="1:11" x14ac:dyDescent="0.3">
      <c r="A291" t="s">
        <v>511</v>
      </c>
      <c r="B291" s="2">
        <v>46237</v>
      </c>
      <c r="C291" t="s">
        <v>256</v>
      </c>
      <c r="D291" t="s">
        <v>36</v>
      </c>
      <c r="E291" t="s">
        <v>22</v>
      </c>
      <c r="F291" s="3">
        <v>2596.69</v>
      </c>
      <c r="G291" t="s">
        <v>15</v>
      </c>
      <c r="I291" t="s">
        <v>40</v>
      </c>
      <c r="J291" t="s">
        <v>17</v>
      </c>
      <c r="K291" t="s">
        <v>26</v>
      </c>
    </row>
    <row r="292" spans="1:11" x14ac:dyDescent="0.3">
      <c r="A292" t="s">
        <v>512</v>
      </c>
      <c r="B292" s="2">
        <v>46104</v>
      </c>
      <c r="C292" t="s">
        <v>317</v>
      </c>
      <c r="D292" t="s">
        <v>29</v>
      </c>
      <c r="E292" t="s">
        <v>22</v>
      </c>
      <c r="F292" s="3">
        <v>1387.31</v>
      </c>
      <c r="G292" t="s">
        <v>15</v>
      </c>
      <c r="I292" t="s">
        <v>45</v>
      </c>
      <c r="J292" t="s">
        <v>17</v>
      </c>
      <c r="K292" t="s">
        <v>18</v>
      </c>
    </row>
    <row r="293" spans="1:11" x14ac:dyDescent="0.3">
      <c r="A293" t="s">
        <v>513</v>
      </c>
      <c r="B293" s="2">
        <v>46127</v>
      </c>
      <c r="C293" t="s">
        <v>372</v>
      </c>
      <c r="D293" t="s">
        <v>21</v>
      </c>
      <c r="E293" t="s">
        <v>50</v>
      </c>
      <c r="F293" s="3">
        <v>649.44000000000005</v>
      </c>
      <c r="G293" t="s">
        <v>15</v>
      </c>
      <c r="I293" t="s">
        <v>30</v>
      </c>
      <c r="J293" t="s">
        <v>17</v>
      </c>
      <c r="K293" t="s">
        <v>18</v>
      </c>
    </row>
    <row r="294" spans="1:11" x14ac:dyDescent="0.3">
      <c r="A294" t="s">
        <v>514</v>
      </c>
      <c r="B294" s="2">
        <v>46061</v>
      </c>
      <c r="C294" t="s">
        <v>515</v>
      </c>
      <c r="D294" t="s">
        <v>84</v>
      </c>
      <c r="E294" t="s">
        <v>22</v>
      </c>
      <c r="F294" s="3">
        <v>1597.56</v>
      </c>
      <c r="G294" t="s">
        <v>15</v>
      </c>
      <c r="I294" t="s">
        <v>100</v>
      </c>
      <c r="J294" t="s">
        <v>17</v>
      </c>
      <c r="K294" t="s">
        <v>18</v>
      </c>
    </row>
    <row r="295" spans="1:11" x14ac:dyDescent="0.3">
      <c r="A295" t="s">
        <v>516</v>
      </c>
      <c r="B295" s="2">
        <v>46290</v>
      </c>
      <c r="C295" t="s">
        <v>370</v>
      </c>
      <c r="D295" t="s">
        <v>29</v>
      </c>
      <c r="E295" t="s">
        <v>22</v>
      </c>
      <c r="F295" s="3">
        <v>1934.35</v>
      </c>
      <c r="G295" t="s">
        <v>15</v>
      </c>
      <c r="I295" t="s">
        <v>16</v>
      </c>
      <c r="J295" t="s">
        <v>17</v>
      </c>
      <c r="K295" t="s">
        <v>18</v>
      </c>
    </row>
    <row r="296" spans="1:11" x14ac:dyDescent="0.3">
      <c r="A296" t="s">
        <v>517</v>
      </c>
      <c r="B296" s="2">
        <v>46149</v>
      </c>
      <c r="C296" t="s">
        <v>246</v>
      </c>
      <c r="D296" t="s">
        <v>36</v>
      </c>
      <c r="E296" t="s">
        <v>50</v>
      </c>
      <c r="F296" s="3">
        <v>3100.62</v>
      </c>
      <c r="G296" t="s">
        <v>15</v>
      </c>
      <c r="I296" t="s">
        <v>100</v>
      </c>
      <c r="J296" t="s">
        <v>41</v>
      </c>
      <c r="K296" t="s">
        <v>18</v>
      </c>
    </row>
    <row r="297" spans="1:11" x14ac:dyDescent="0.3">
      <c r="A297" t="s">
        <v>518</v>
      </c>
      <c r="B297" s="2">
        <v>46095</v>
      </c>
      <c r="C297" t="s">
        <v>326</v>
      </c>
      <c r="D297" t="s">
        <v>84</v>
      </c>
      <c r="E297" t="s">
        <v>22</v>
      </c>
      <c r="F297" s="3">
        <v>626.69000000000005</v>
      </c>
      <c r="G297" t="s">
        <v>15</v>
      </c>
      <c r="I297" t="s">
        <v>25</v>
      </c>
      <c r="J297" t="s">
        <v>17</v>
      </c>
      <c r="K297" t="s">
        <v>26</v>
      </c>
    </row>
    <row r="298" spans="1:11" x14ac:dyDescent="0.3">
      <c r="A298" t="s">
        <v>519</v>
      </c>
      <c r="B298" s="2">
        <v>46194</v>
      </c>
      <c r="C298" t="s">
        <v>368</v>
      </c>
      <c r="D298" t="s">
        <v>84</v>
      </c>
      <c r="E298" t="s">
        <v>22</v>
      </c>
      <c r="F298" s="3">
        <v>1085.01</v>
      </c>
      <c r="G298" t="s">
        <v>15</v>
      </c>
      <c r="I298" t="s">
        <v>30</v>
      </c>
      <c r="J298" t="s">
        <v>17</v>
      </c>
      <c r="K298" t="s">
        <v>26</v>
      </c>
    </row>
    <row r="299" spans="1:11" x14ac:dyDescent="0.3">
      <c r="A299" t="s">
        <v>520</v>
      </c>
      <c r="B299" s="2">
        <v>46178</v>
      </c>
      <c r="C299" t="s">
        <v>521</v>
      </c>
      <c r="D299" t="s">
        <v>36</v>
      </c>
      <c r="E299" t="s">
        <v>22</v>
      </c>
      <c r="F299" s="3">
        <v>2204.34</v>
      </c>
      <c r="G299" t="s">
        <v>15</v>
      </c>
      <c r="I299" t="s">
        <v>100</v>
      </c>
      <c r="J299" t="s">
        <v>46</v>
      </c>
      <c r="K299" t="s">
        <v>18</v>
      </c>
    </row>
    <row r="300" spans="1:11" x14ac:dyDescent="0.3">
      <c r="A300" t="s">
        <v>522</v>
      </c>
      <c r="B300" s="2">
        <v>46224</v>
      </c>
      <c r="C300" t="s">
        <v>523</v>
      </c>
      <c r="D300" t="s">
        <v>21</v>
      </c>
      <c r="E300" t="s">
        <v>22</v>
      </c>
      <c r="F300" s="3">
        <v>3206.09</v>
      </c>
      <c r="G300" t="s">
        <v>15</v>
      </c>
      <c r="I300" t="s">
        <v>25</v>
      </c>
      <c r="J300" t="s">
        <v>17</v>
      </c>
      <c r="K300" t="s">
        <v>18</v>
      </c>
    </row>
    <row r="301" spans="1:11" x14ac:dyDescent="0.3">
      <c r="A301" t="s">
        <v>524</v>
      </c>
      <c r="B301" s="2">
        <v>46198</v>
      </c>
      <c r="C301" t="s">
        <v>525</v>
      </c>
      <c r="D301" t="s">
        <v>36</v>
      </c>
      <c r="E301" t="s">
        <v>22</v>
      </c>
      <c r="F301" s="3">
        <v>3418.1</v>
      </c>
      <c r="G301" t="s">
        <v>15</v>
      </c>
      <c r="I301" t="s">
        <v>25</v>
      </c>
      <c r="J301" t="s">
        <v>17</v>
      </c>
      <c r="K301" t="s">
        <v>26</v>
      </c>
    </row>
    <row r="302" spans="1:11" x14ac:dyDescent="0.3">
      <c r="A302" t="s">
        <v>526</v>
      </c>
      <c r="B302" s="2">
        <v>46089</v>
      </c>
      <c r="C302" t="s">
        <v>284</v>
      </c>
      <c r="D302" t="s">
        <v>21</v>
      </c>
      <c r="E302" t="s">
        <v>22</v>
      </c>
      <c r="F302" s="3">
        <v>1111.52</v>
      </c>
      <c r="G302" t="s">
        <v>15</v>
      </c>
      <c r="I302" t="s">
        <v>65</v>
      </c>
      <c r="J302" t="s">
        <v>17</v>
      </c>
      <c r="K302" t="s">
        <v>18</v>
      </c>
    </row>
    <row r="303" spans="1:11" x14ac:dyDescent="0.3">
      <c r="A303" t="s">
        <v>527</v>
      </c>
      <c r="B303" s="2">
        <v>46267</v>
      </c>
      <c r="C303" t="s">
        <v>528</v>
      </c>
      <c r="D303" t="s">
        <v>13</v>
      </c>
      <c r="E303" t="s">
        <v>22</v>
      </c>
      <c r="F303" s="3">
        <v>1631.12</v>
      </c>
      <c r="G303" t="s">
        <v>15</v>
      </c>
      <c r="I303" t="s">
        <v>40</v>
      </c>
      <c r="J303" t="s">
        <v>17</v>
      </c>
      <c r="K303" t="s">
        <v>47</v>
      </c>
    </row>
    <row r="304" spans="1:11" x14ac:dyDescent="0.3">
      <c r="A304" t="s">
        <v>529</v>
      </c>
      <c r="B304" s="2">
        <v>46156</v>
      </c>
      <c r="C304" t="s">
        <v>530</v>
      </c>
      <c r="D304" t="s">
        <v>13</v>
      </c>
      <c r="E304" t="s">
        <v>44</v>
      </c>
      <c r="F304" s="3">
        <v>2892.63</v>
      </c>
      <c r="G304" t="s">
        <v>15</v>
      </c>
      <c r="I304" t="s">
        <v>30</v>
      </c>
      <c r="J304" t="s">
        <v>46</v>
      </c>
      <c r="K304" t="s">
        <v>18</v>
      </c>
    </row>
    <row r="305" spans="1:11" x14ac:dyDescent="0.3">
      <c r="A305" t="s">
        <v>531</v>
      </c>
      <c r="B305" s="2">
        <v>46090</v>
      </c>
      <c r="C305" t="s">
        <v>528</v>
      </c>
      <c r="D305" t="s">
        <v>29</v>
      </c>
      <c r="E305" t="s">
        <v>44</v>
      </c>
      <c r="F305" s="3">
        <v>1583.37</v>
      </c>
      <c r="G305" t="s">
        <v>15</v>
      </c>
      <c r="I305" t="s">
        <v>45</v>
      </c>
      <c r="J305" t="s">
        <v>17</v>
      </c>
      <c r="K305" t="s">
        <v>18</v>
      </c>
    </row>
    <row r="306" spans="1:11" x14ac:dyDescent="0.3">
      <c r="A306" t="s">
        <v>532</v>
      </c>
      <c r="B306" s="2">
        <v>46064</v>
      </c>
      <c r="C306" t="s">
        <v>533</v>
      </c>
      <c r="D306" t="s">
        <v>13</v>
      </c>
      <c r="E306" t="s">
        <v>22</v>
      </c>
      <c r="F306" s="3">
        <v>1802.98</v>
      </c>
      <c r="G306" t="s">
        <v>15</v>
      </c>
      <c r="I306" t="s">
        <v>25</v>
      </c>
      <c r="J306" t="s">
        <v>41</v>
      </c>
      <c r="K306" t="s">
        <v>18</v>
      </c>
    </row>
    <row r="307" spans="1:11" x14ac:dyDescent="0.3">
      <c r="A307" t="s">
        <v>534</v>
      </c>
      <c r="B307" s="2">
        <v>46114</v>
      </c>
      <c r="C307" t="s">
        <v>95</v>
      </c>
      <c r="D307" t="s">
        <v>13</v>
      </c>
      <c r="E307" t="s">
        <v>50</v>
      </c>
      <c r="F307" s="3">
        <v>2268</v>
      </c>
      <c r="G307" t="s">
        <v>15</v>
      </c>
      <c r="I307" t="s">
        <v>30</v>
      </c>
      <c r="J307" t="s">
        <v>17</v>
      </c>
      <c r="K307" t="s">
        <v>47</v>
      </c>
    </row>
    <row r="308" spans="1:11" x14ac:dyDescent="0.3">
      <c r="A308" t="s">
        <v>535</v>
      </c>
      <c r="B308" s="2">
        <v>46121</v>
      </c>
      <c r="C308" t="s">
        <v>113</v>
      </c>
      <c r="D308" t="s">
        <v>84</v>
      </c>
      <c r="E308" t="s">
        <v>50</v>
      </c>
      <c r="F308" s="3">
        <v>1493.64</v>
      </c>
      <c r="G308" t="s">
        <v>15</v>
      </c>
      <c r="I308" t="s">
        <v>30</v>
      </c>
      <c r="J308" t="s">
        <v>17</v>
      </c>
      <c r="K308" t="s">
        <v>18</v>
      </c>
    </row>
    <row r="309" spans="1:11" x14ac:dyDescent="0.3">
      <c r="A309" t="s">
        <v>536</v>
      </c>
      <c r="B309" s="2">
        <v>46123</v>
      </c>
      <c r="C309" t="s">
        <v>105</v>
      </c>
      <c r="D309" t="s">
        <v>21</v>
      </c>
      <c r="E309" t="s">
        <v>22</v>
      </c>
      <c r="F309" s="3">
        <v>2355.89</v>
      </c>
      <c r="G309" t="s">
        <v>15</v>
      </c>
      <c r="I309" t="s">
        <v>16</v>
      </c>
      <c r="J309" t="s">
        <v>46</v>
      </c>
      <c r="K309" t="s">
        <v>47</v>
      </c>
    </row>
    <row r="310" spans="1:11" x14ac:dyDescent="0.3">
      <c r="A310" t="s">
        <v>537</v>
      </c>
      <c r="B310" s="2">
        <v>46069</v>
      </c>
      <c r="C310" t="s">
        <v>78</v>
      </c>
      <c r="D310" t="s">
        <v>36</v>
      </c>
      <c r="E310" t="s">
        <v>14</v>
      </c>
      <c r="F310" s="3">
        <v>914.84</v>
      </c>
      <c r="G310" t="s">
        <v>15</v>
      </c>
      <c r="I310" t="s">
        <v>45</v>
      </c>
      <c r="J310" t="s">
        <v>46</v>
      </c>
      <c r="K310" t="s">
        <v>47</v>
      </c>
    </row>
    <row r="311" spans="1:11" x14ac:dyDescent="0.3">
      <c r="A311" t="s">
        <v>538</v>
      </c>
      <c r="B311" s="2">
        <v>46176</v>
      </c>
      <c r="C311" t="s">
        <v>352</v>
      </c>
      <c r="D311" t="s">
        <v>36</v>
      </c>
      <c r="E311" t="s">
        <v>44</v>
      </c>
      <c r="F311" s="3">
        <v>1480.55</v>
      </c>
      <c r="G311" t="s">
        <v>15</v>
      </c>
      <c r="I311" t="s">
        <v>33</v>
      </c>
      <c r="J311" t="s">
        <v>46</v>
      </c>
      <c r="K311" t="s">
        <v>26</v>
      </c>
    </row>
    <row r="312" spans="1:11" x14ac:dyDescent="0.3">
      <c r="A312" t="s">
        <v>539</v>
      </c>
      <c r="B312" s="2">
        <v>46097</v>
      </c>
      <c r="C312" t="s">
        <v>540</v>
      </c>
      <c r="D312" t="s">
        <v>21</v>
      </c>
      <c r="E312" t="s">
        <v>22</v>
      </c>
      <c r="F312" s="3">
        <v>1938.98</v>
      </c>
      <c r="G312" t="s">
        <v>23</v>
      </c>
      <c r="H312" t="s">
        <v>70</v>
      </c>
      <c r="I312" t="s">
        <v>65</v>
      </c>
      <c r="J312" t="s">
        <v>17</v>
      </c>
      <c r="K312" t="s">
        <v>18</v>
      </c>
    </row>
    <row r="313" spans="1:11" x14ac:dyDescent="0.3">
      <c r="A313" t="s">
        <v>541</v>
      </c>
      <c r="B313" s="2">
        <v>46104</v>
      </c>
      <c r="C313" t="s">
        <v>542</v>
      </c>
      <c r="D313" t="s">
        <v>36</v>
      </c>
      <c r="E313" t="s">
        <v>22</v>
      </c>
      <c r="F313" s="3">
        <v>696.54</v>
      </c>
      <c r="G313" t="s">
        <v>15</v>
      </c>
      <c r="I313" t="s">
        <v>16</v>
      </c>
      <c r="J313" t="s">
        <v>46</v>
      </c>
      <c r="K313" t="s">
        <v>18</v>
      </c>
    </row>
    <row r="314" spans="1:11" x14ac:dyDescent="0.3">
      <c r="A314" t="s">
        <v>543</v>
      </c>
      <c r="B314" s="2">
        <v>46247</v>
      </c>
      <c r="C314" t="s">
        <v>125</v>
      </c>
      <c r="D314" t="s">
        <v>13</v>
      </c>
      <c r="E314" t="s">
        <v>22</v>
      </c>
      <c r="F314" s="3">
        <v>1084.24</v>
      </c>
      <c r="G314" t="s">
        <v>23</v>
      </c>
      <c r="H314" t="s">
        <v>70</v>
      </c>
      <c r="I314" t="s">
        <v>16</v>
      </c>
      <c r="J314" t="s">
        <v>41</v>
      </c>
      <c r="K314" t="s">
        <v>26</v>
      </c>
    </row>
    <row r="315" spans="1:11" x14ac:dyDescent="0.3">
      <c r="A315" t="s">
        <v>544</v>
      </c>
      <c r="B315" s="2">
        <v>46076</v>
      </c>
      <c r="C315" t="s">
        <v>93</v>
      </c>
      <c r="D315" t="s">
        <v>13</v>
      </c>
      <c r="E315" t="s">
        <v>22</v>
      </c>
      <c r="F315" s="3">
        <v>2547.1999999999998</v>
      </c>
      <c r="G315" t="s">
        <v>15</v>
      </c>
      <c r="I315" t="s">
        <v>65</v>
      </c>
      <c r="J315" t="s">
        <v>41</v>
      </c>
      <c r="K315" t="s">
        <v>18</v>
      </c>
    </row>
    <row r="316" spans="1:11" x14ac:dyDescent="0.3">
      <c r="A316" t="s">
        <v>545</v>
      </c>
      <c r="B316" s="2">
        <v>46079</v>
      </c>
      <c r="C316" t="s">
        <v>459</v>
      </c>
      <c r="D316" t="s">
        <v>13</v>
      </c>
      <c r="E316" t="s">
        <v>50</v>
      </c>
      <c r="F316" s="3">
        <v>1093.6600000000001</v>
      </c>
      <c r="G316" t="s">
        <v>15</v>
      </c>
      <c r="I316" t="s">
        <v>100</v>
      </c>
      <c r="J316" t="s">
        <v>41</v>
      </c>
      <c r="K316" t="s">
        <v>26</v>
      </c>
    </row>
    <row r="317" spans="1:11" x14ac:dyDescent="0.3">
      <c r="A317" t="s">
        <v>546</v>
      </c>
      <c r="B317" s="2">
        <v>46279</v>
      </c>
      <c r="C317" t="s">
        <v>427</v>
      </c>
      <c r="D317" t="s">
        <v>84</v>
      </c>
      <c r="E317" t="s">
        <v>39</v>
      </c>
      <c r="F317" s="3">
        <v>918.48</v>
      </c>
      <c r="G317" t="s">
        <v>15</v>
      </c>
      <c r="I317" t="s">
        <v>16</v>
      </c>
      <c r="J317" t="s">
        <v>17</v>
      </c>
      <c r="K317" t="s">
        <v>18</v>
      </c>
    </row>
    <row r="318" spans="1:11" x14ac:dyDescent="0.3">
      <c r="A318" t="s">
        <v>547</v>
      </c>
      <c r="B318" s="2">
        <v>46282</v>
      </c>
      <c r="C318" t="s">
        <v>548</v>
      </c>
      <c r="D318" t="s">
        <v>21</v>
      </c>
      <c r="E318" t="s">
        <v>22</v>
      </c>
      <c r="F318" s="3">
        <v>723.21</v>
      </c>
      <c r="G318" t="s">
        <v>15</v>
      </c>
      <c r="I318" t="s">
        <v>25</v>
      </c>
      <c r="J318" t="s">
        <v>41</v>
      </c>
      <c r="K318" t="s">
        <v>47</v>
      </c>
    </row>
    <row r="319" spans="1:11" x14ac:dyDescent="0.3">
      <c r="A319" t="s">
        <v>549</v>
      </c>
      <c r="B319" s="2">
        <v>46105</v>
      </c>
      <c r="C319" t="s">
        <v>352</v>
      </c>
      <c r="D319" t="s">
        <v>84</v>
      </c>
      <c r="E319" t="s">
        <v>22</v>
      </c>
      <c r="F319" s="3">
        <v>1076.73</v>
      </c>
      <c r="G319" t="s">
        <v>15</v>
      </c>
      <c r="I319" t="s">
        <v>65</v>
      </c>
      <c r="J319" t="s">
        <v>17</v>
      </c>
      <c r="K319" t="s">
        <v>47</v>
      </c>
    </row>
    <row r="320" spans="1:11" x14ac:dyDescent="0.3">
      <c r="A320" t="s">
        <v>550</v>
      </c>
      <c r="B320" s="2">
        <v>46210</v>
      </c>
      <c r="C320" t="s">
        <v>435</v>
      </c>
      <c r="D320" t="s">
        <v>36</v>
      </c>
      <c r="E320" t="s">
        <v>50</v>
      </c>
      <c r="F320" s="3">
        <v>1678.45</v>
      </c>
      <c r="G320" t="s">
        <v>23</v>
      </c>
      <c r="H320" t="s">
        <v>70</v>
      </c>
      <c r="I320" t="s">
        <v>40</v>
      </c>
      <c r="J320" t="s">
        <v>17</v>
      </c>
      <c r="K320" t="s">
        <v>47</v>
      </c>
    </row>
    <row r="321" spans="1:11" x14ac:dyDescent="0.3">
      <c r="A321" t="s">
        <v>551</v>
      </c>
      <c r="B321" s="2">
        <v>46049</v>
      </c>
      <c r="C321" t="s">
        <v>552</v>
      </c>
      <c r="D321" t="s">
        <v>13</v>
      </c>
      <c r="E321" t="s">
        <v>22</v>
      </c>
      <c r="F321" s="3">
        <v>680.92</v>
      </c>
      <c r="G321" t="s">
        <v>149</v>
      </c>
      <c r="I321" t="s">
        <v>16</v>
      </c>
      <c r="J321" t="s">
        <v>17</v>
      </c>
      <c r="K321" t="s">
        <v>26</v>
      </c>
    </row>
    <row r="322" spans="1:11" x14ac:dyDescent="0.3">
      <c r="A322" t="s">
        <v>553</v>
      </c>
      <c r="B322" s="2">
        <v>46075</v>
      </c>
      <c r="C322" t="s">
        <v>340</v>
      </c>
      <c r="D322" t="s">
        <v>84</v>
      </c>
      <c r="E322" t="s">
        <v>22</v>
      </c>
      <c r="F322" s="3">
        <v>3644.61</v>
      </c>
      <c r="G322" t="s">
        <v>15</v>
      </c>
      <c r="I322" t="s">
        <v>40</v>
      </c>
      <c r="J322" t="s">
        <v>41</v>
      </c>
      <c r="K322" t="s">
        <v>18</v>
      </c>
    </row>
    <row r="323" spans="1:11" x14ac:dyDescent="0.3">
      <c r="A323" t="s">
        <v>554</v>
      </c>
      <c r="B323" s="2">
        <v>46036</v>
      </c>
      <c r="C323" t="s">
        <v>291</v>
      </c>
      <c r="D323" t="s">
        <v>36</v>
      </c>
      <c r="E323" t="s">
        <v>22</v>
      </c>
      <c r="F323" s="3">
        <v>838.11</v>
      </c>
      <c r="G323" t="s">
        <v>15</v>
      </c>
      <c r="I323" t="s">
        <v>100</v>
      </c>
      <c r="J323" t="s">
        <v>41</v>
      </c>
      <c r="K323" t="s">
        <v>18</v>
      </c>
    </row>
    <row r="324" spans="1:11" x14ac:dyDescent="0.3">
      <c r="A324" t="s">
        <v>555</v>
      </c>
      <c r="B324" s="2">
        <v>46081</v>
      </c>
      <c r="C324" t="s">
        <v>370</v>
      </c>
      <c r="D324" t="s">
        <v>84</v>
      </c>
      <c r="E324" t="s">
        <v>22</v>
      </c>
      <c r="F324" s="3">
        <v>689.51</v>
      </c>
      <c r="G324" t="s">
        <v>15</v>
      </c>
      <c r="I324" t="s">
        <v>40</v>
      </c>
      <c r="J324" t="s">
        <v>41</v>
      </c>
      <c r="K324" t="s">
        <v>26</v>
      </c>
    </row>
    <row r="325" spans="1:11" x14ac:dyDescent="0.3">
      <c r="A325" t="s">
        <v>556</v>
      </c>
      <c r="B325" s="2">
        <v>46101</v>
      </c>
      <c r="C325" t="s">
        <v>489</v>
      </c>
      <c r="D325" t="s">
        <v>29</v>
      </c>
      <c r="E325" t="s">
        <v>22</v>
      </c>
      <c r="F325" s="3">
        <v>2339.08</v>
      </c>
      <c r="G325" t="s">
        <v>15</v>
      </c>
      <c r="I325" t="s">
        <v>40</v>
      </c>
      <c r="J325" t="s">
        <v>41</v>
      </c>
      <c r="K325" t="s">
        <v>26</v>
      </c>
    </row>
    <row r="326" spans="1:11" x14ac:dyDescent="0.3">
      <c r="A326" t="s">
        <v>557</v>
      </c>
      <c r="B326" s="2">
        <v>46110</v>
      </c>
      <c r="C326" t="s">
        <v>261</v>
      </c>
      <c r="D326" t="s">
        <v>21</v>
      </c>
      <c r="E326" t="s">
        <v>22</v>
      </c>
      <c r="F326" s="3">
        <v>2228.09</v>
      </c>
      <c r="G326" t="s">
        <v>15</v>
      </c>
      <c r="I326" t="s">
        <v>45</v>
      </c>
      <c r="J326" t="s">
        <v>17</v>
      </c>
      <c r="K326" t="s">
        <v>18</v>
      </c>
    </row>
    <row r="327" spans="1:11" x14ac:dyDescent="0.3">
      <c r="A327" t="s">
        <v>558</v>
      </c>
      <c r="B327" s="2">
        <v>46122</v>
      </c>
      <c r="C327" t="s">
        <v>67</v>
      </c>
      <c r="D327" t="s">
        <v>21</v>
      </c>
      <c r="E327" t="s">
        <v>39</v>
      </c>
      <c r="F327" s="3">
        <v>626.24</v>
      </c>
      <c r="G327" t="s">
        <v>23</v>
      </c>
      <c r="H327" t="s">
        <v>138</v>
      </c>
      <c r="I327" t="s">
        <v>100</v>
      </c>
      <c r="J327" t="s">
        <v>17</v>
      </c>
      <c r="K327" t="s">
        <v>18</v>
      </c>
    </row>
    <row r="328" spans="1:11" x14ac:dyDescent="0.3">
      <c r="A328" t="s">
        <v>559</v>
      </c>
      <c r="B328" s="2">
        <v>46208</v>
      </c>
      <c r="C328" t="s">
        <v>242</v>
      </c>
      <c r="D328" t="s">
        <v>29</v>
      </c>
      <c r="E328" t="s">
        <v>44</v>
      </c>
      <c r="F328" s="3">
        <v>1272.6300000000001</v>
      </c>
      <c r="G328" t="s">
        <v>15</v>
      </c>
      <c r="I328" t="s">
        <v>65</v>
      </c>
      <c r="J328" t="s">
        <v>41</v>
      </c>
      <c r="K328" t="s">
        <v>18</v>
      </c>
    </row>
    <row r="329" spans="1:11" x14ac:dyDescent="0.3">
      <c r="A329" t="s">
        <v>560</v>
      </c>
      <c r="B329" s="2">
        <v>46035</v>
      </c>
      <c r="C329" t="s">
        <v>552</v>
      </c>
      <c r="D329" t="s">
        <v>36</v>
      </c>
      <c r="E329" t="s">
        <v>22</v>
      </c>
      <c r="F329" s="3">
        <v>791.49</v>
      </c>
      <c r="G329" t="s">
        <v>15</v>
      </c>
      <c r="I329" t="s">
        <v>30</v>
      </c>
      <c r="J329" t="s">
        <v>46</v>
      </c>
      <c r="K329" t="s">
        <v>26</v>
      </c>
    </row>
    <row r="330" spans="1:11" x14ac:dyDescent="0.3">
      <c r="A330" t="s">
        <v>561</v>
      </c>
      <c r="B330" s="2">
        <v>46233</v>
      </c>
      <c r="C330" t="s">
        <v>562</v>
      </c>
      <c r="D330" t="s">
        <v>36</v>
      </c>
      <c r="E330" t="s">
        <v>22</v>
      </c>
      <c r="F330" s="3">
        <v>863.93</v>
      </c>
      <c r="G330" t="s">
        <v>15</v>
      </c>
      <c r="I330" t="s">
        <v>65</v>
      </c>
      <c r="J330" t="s">
        <v>17</v>
      </c>
      <c r="K330" t="s">
        <v>18</v>
      </c>
    </row>
    <row r="331" spans="1:11" x14ac:dyDescent="0.3">
      <c r="A331" t="s">
        <v>563</v>
      </c>
      <c r="B331" s="2">
        <v>46249</v>
      </c>
      <c r="C331" t="s">
        <v>348</v>
      </c>
      <c r="D331" t="s">
        <v>36</v>
      </c>
      <c r="E331" t="s">
        <v>22</v>
      </c>
      <c r="F331" s="3">
        <v>1332.63</v>
      </c>
      <c r="G331" t="s">
        <v>15</v>
      </c>
      <c r="I331" t="s">
        <v>16</v>
      </c>
      <c r="J331" t="s">
        <v>41</v>
      </c>
      <c r="K331" t="s">
        <v>18</v>
      </c>
    </row>
    <row r="332" spans="1:11" x14ac:dyDescent="0.3">
      <c r="A332" t="s">
        <v>564</v>
      </c>
      <c r="B332" s="2">
        <v>46038</v>
      </c>
      <c r="C332" t="s">
        <v>565</v>
      </c>
      <c r="D332" t="s">
        <v>29</v>
      </c>
      <c r="E332" t="s">
        <v>14</v>
      </c>
      <c r="F332" s="3">
        <v>2417.3200000000002</v>
      </c>
      <c r="G332" t="s">
        <v>15</v>
      </c>
      <c r="I332" t="s">
        <v>33</v>
      </c>
      <c r="J332" t="s">
        <v>41</v>
      </c>
      <c r="K332" t="s">
        <v>26</v>
      </c>
    </row>
    <row r="333" spans="1:11" x14ac:dyDescent="0.3">
      <c r="A333" t="s">
        <v>566</v>
      </c>
      <c r="B333" s="2">
        <v>46286</v>
      </c>
      <c r="C333" t="s">
        <v>117</v>
      </c>
      <c r="D333" t="s">
        <v>84</v>
      </c>
      <c r="E333" t="s">
        <v>50</v>
      </c>
      <c r="F333" s="3">
        <v>940.16</v>
      </c>
      <c r="G333" t="s">
        <v>15</v>
      </c>
      <c r="I333" t="s">
        <v>30</v>
      </c>
      <c r="J333" t="s">
        <v>17</v>
      </c>
      <c r="K333" t="s">
        <v>26</v>
      </c>
    </row>
    <row r="334" spans="1:11" x14ac:dyDescent="0.3">
      <c r="A334" t="s">
        <v>567</v>
      </c>
      <c r="B334" s="2">
        <v>46087</v>
      </c>
      <c r="C334" t="s">
        <v>568</v>
      </c>
      <c r="D334" t="s">
        <v>29</v>
      </c>
      <c r="E334" t="s">
        <v>22</v>
      </c>
      <c r="F334" s="3">
        <v>937.87</v>
      </c>
      <c r="G334" t="s">
        <v>15</v>
      </c>
      <c r="I334" t="s">
        <v>45</v>
      </c>
      <c r="J334" t="s">
        <v>17</v>
      </c>
      <c r="K334" t="s">
        <v>18</v>
      </c>
    </row>
    <row r="335" spans="1:11" x14ac:dyDescent="0.3">
      <c r="A335" t="s">
        <v>569</v>
      </c>
      <c r="B335" s="2">
        <v>46096</v>
      </c>
      <c r="C335" t="s">
        <v>122</v>
      </c>
      <c r="D335" t="s">
        <v>13</v>
      </c>
      <c r="E335" t="s">
        <v>22</v>
      </c>
      <c r="F335" s="3">
        <v>1886.48</v>
      </c>
      <c r="G335" t="s">
        <v>15</v>
      </c>
      <c r="I335" t="s">
        <v>25</v>
      </c>
      <c r="J335" t="s">
        <v>17</v>
      </c>
      <c r="K335" t="s">
        <v>18</v>
      </c>
    </row>
    <row r="336" spans="1:11" x14ac:dyDescent="0.3">
      <c r="A336" t="s">
        <v>570</v>
      </c>
      <c r="B336" s="2">
        <v>46185</v>
      </c>
      <c r="C336" t="s">
        <v>157</v>
      </c>
      <c r="D336" t="s">
        <v>36</v>
      </c>
      <c r="E336" t="s">
        <v>22</v>
      </c>
      <c r="F336" s="3">
        <v>175.62</v>
      </c>
      <c r="G336" t="s">
        <v>15</v>
      </c>
      <c r="I336" t="s">
        <v>65</v>
      </c>
      <c r="J336" t="s">
        <v>41</v>
      </c>
      <c r="K336" t="s">
        <v>47</v>
      </c>
    </row>
    <row r="337" spans="1:11" x14ac:dyDescent="0.3">
      <c r="A337" t="s">
        <v>571</v>
      </c>
      <c r="B337" s="2">
        <v>46252</v>
      </c>
      <c r="C337" t="s">
        <v>572</v>
      </c>
      <c r="D337" t="s">
        <v>36</v>
      </c>
      <c r="E337" t="s">
        <v>14</v>
      </c>
      <c r="F337" s="3">
        <v>1039.82</v>
      </c>
      <c r="G337" t="s">
        <v>149</v>
      </c>
      <c r="I337" t="s">
        <v>65</v>
      </c>
      <c r="J337" t="s">
        <v>41</v>
      </c>
      <c r="K337" t="s">
        <v>18</v>
      </c>
    </row>
    <row r="338" spans="1:11" x14ac:dyDescent="0.3">
      <c r="A338" t="s">
        <v>573</v>
      </c>
      <c r="B338" s="2">
        <v>46203</v>
      </c>
      <c r="C338" t="s">
        <v>435</v>
      </c>
      <c r="D338" t="s">
        <v>13</v>
      </c>
      <c r="E338" t="s">
        <v>22</v>
      </c>
      <c r="F338" s="3">
        <v>1039.29</v>
      </c>
      <c r="G338" t="s">
        <v>15</v>
      </c>
      <c r="I338" t="s">
        <v>25</v>
      </c>
      <c r="J338" t="s">
        <v>17</v>
      </c>
      <c r="K338" t="s">
        <v>18</v>
      </c>
    </row>
    <row r="339" spans="1:11" x14ac:dyDescent="0.3">
      <c r="A339" t="s">
        <v>574</v>
      </c>
      <c r="B339" s="2">
        <v>46029</v>
      </c>
      <c r="C339" t="s">
        <v>484</v>
      </c>
      <c r="D339" t="s">
        <v>36</v>
      </c>
      <c r="E339" t="s">
        <v>22</v>
      </c>
      <c r="F339" s="3">
        <v>714.34</v>
      </c>
      <c r="G339" t="s">
        <v>15</v>
      </c>
      <c r="I339" t="s">
        <v>65</v>
      </c>
      <c r="J339" t="s">
        <v>17</v>
      </c>
      <c r="K339" t="s">
        <v>26</v>
      </c>
    </row>
    <row r="340" spans="1:11" x14ac:dyDescent="0.3">
      <c r="A340" t="s">
        <v>575</v>
      </c>
      <c r="B340" s="2">
        <v>46133</v>
      </c>
      <c r="C340" t="s">
        <v>320</v>
      </c>
      <c r="D340" t="s">
        <v>29</v>
      </c>
      <c r="E340" t="s">
        <v>39</v>
      </c>
      <c r="F340" s="3">
        <v>1772.2</v>
      </c>
      <c r="G340" t="s">
        <v>15</v>
      </c>
      <c r="I340" t="s">
        <v>65</v>
      </c>
      <c r="J340" t="s">
        <v>17</v>
      </c>
      <c r="K340" t="s">
        <v>18</v>
      </c>
    </row>
    <row r="341" spans="1:11" x14ac:dyDescent="0.3">
      <c r="A341" t="s">
        <v>576</v>
      </c>
      <c r="B341" s="2">
        <v>46179</v>
      </c>
      <c r="C341" t="s">
        <v>157</v>
      </c>
      <c r="D341" t="s">
        <v>36</v>
      </c>
      <c r="E341" t="s">
        <v>22</v>
      </c>
      <c r="F341" s="3">
        <v>5155.29</v>
      </c>
      <c r="G341" t="s">
        <v>15</v>
      </c>
      <c r="I341" t="s">
        <v>100</v>
      </c>
      <c r="J341" t="s">
        <v>41</v>
      </c>
      <c r="K341" t="s">
        <v>18</v>
      </c>
    </row>
    <row r="342" spans="1:11" x14ac:dyDescent="0.3">
      <c r="A342" t="s">
        <v>577</v>
      </c>
      <c r="B342" s="2">
        <v>46126</v>
      </c>
      <c r="C342" t="s">
        <v>38</v>
      </c>
      <c r="D342" t="s">
        <v>36</v>
      </c>
      <c r="E342" t="s">
        <v>44</v>
      </c>
      <c r="F342" s="3">
        <v>1218.95</v>
      </c>
      <c r="G342" t="s">
        <v>15</v>
      </c>
      <c r="I342" t="s">
        <v>25</v>
      </c>
      <c r="J342" t="s">
        <v>17</v>
      </c>
      <c r="K342" t="s">
        <v>18</v>
      </c>
    </row>
    <row r="343" spans="1:11" x14ac:dyDescent="0.3">
      <c r="A343" t="s">
        <v>578</v>
      </c>
      <c r="B343" s="2">
        <v>46048</v>
      </c>
      <c r="C343" t="s">
        <v>533</v>
      </c>
      <c r="D343" t="s">
        <v>21</v>
      </c>
      <c r="E343" t="s">
        <v>39</v>
      </c>
      <c r="F343" s="3">
        <v>1426.68</v>
      </c>
      <c r="G343" t="s">
        <v>15</v>
      </c>
      <c r="I343" t="s">
        <v>100</v>
      </c>
      <c r="J343" t="s">
        <v>17</v>
      </c>
      <c r="K343" t="s">
        <v>47</v>
      </c>
    </row>
    <row r="344" spans="1:11" x14ac:dyDescent="0.3">
      <c r="A344" t="s">
        <v>579</v>
      </c>
      <c r="B344" s="2">
        <v>46071</v>
      </c>
      <c r="C344" t="s">
        <v>340</v>
      </c>
      <c r="D344" t="s">
        <v>29</v>
      </c>
      <c r="E344" t="s">
        <v>14</v>
      </c>
      <c r="F344" s="3">
        <v>1071.18</v>
      </c>
      <c r="G344" t="s">
        <v>15</v>
      </c>
      <c r="I344" t="s">
        <v>16</v>
      </c>
      <c r="J344" t="s">
        <v>17</v>
      </c>
      <c r="K344" t="s">
        <v>26</v>
      </c>
    </row>
    <row r="345" spans="1:11" x14ac:dyDescent="0.3">
      <c r="A345" t="s">
        <v>580</v>
      </c>
      <c r="B345" s="2">
        <v>46027</v>
      </c>
      <c r="C345" t="s">
        <v>174</v>
      </c>
      <c r="D345" t="s">
        <v>29</v>
      </c>
      <c r="E345" t="s">
        <v>22</v>
      </c>
      <c r="F345" s="3">
        <v>1639.95</v>
      </c>
      <c r="G345" t="s">
        <v>15</v>
      </c>
      <c r="I345" t="s">
        <v>30</v>
      </c>
      <c r="J345" t="s">
        <v>17</v>
      </c>
      <c r="K345" t="s">
        <v>18</v>
      </c>
    </row>
    <row r="346" spans="1:11" x14ac:dyDescent="0.3">
      <c r="A346" t="s">
        <v>581</v>
      </c>
      <c r="B346" s="2">
        <v>46037</v>
      </c>
      <c r="C346" t="s">
        <v>172</v>
      </c>
      <c r="D346" t="s">
        <v>84</v>
      </c>
      <c r="E346" t="s">
        <v>44</v>
      </c>
      <c r="F346" s="3">
        <v>1688.83</v>
      </c>
      <c r="G346" t="s">
        <v>15</v>
      </c>
      <c r="I346" t="s">
        <v>25</v>
      </c>
      <c r="J346" t="s">
        <v>17</v>
      </c>
      <c r="K346" t="s">
        <v>18</v>
      </c>
    </row>
    <row r="347" spans="1:11" x14ac:dyDescent="0.3">
      <c r="A347" t="s">
        <v>582</v>
      </c>
      <c r="B347" s="2">
        <v>46028</v>
      </c>
      <c r="C347" t="s">
        <v>507</v>
      </c>
      <c r="D347" t="s">
        <v>36</v>
      </c>
      <c r="E347" t="s">
        <v>22</v>
      </c>
      <c r="F347" s="3">
        <v>1074.04</v>
      </c>
      <c r="G347" t="s">
        <v>149</v>
      </c>
      <c r="I347" t="s">
        <v>100</v>
      </c>
      <c r="J347" t="s">
        <v>17</v>
      </c>
      <c r="K347" t="s">
        <v>47</v>
      </c>
    </row>
    <row r="348" spans="1:11" x14ac:dyDescent="0.3">
      <c r="A348" t="s">
        <v>583</v>
      </c>
      <c r="B348" s="2">
        <v>46072</v>
      </c>
      <c r="C348" t="s">
        <v>313</v>
      </c>
      <c r="D348" t="s">
        <v>36</v>
      </c>
      <c r="E348" t="s">
        <v>44</v>
      </c>
      <c r="F348" s="3">
        <v>869.7</v>
      </c>
      <c r="G348" t="s">
        <v>23</v>
      </c>
      <c r="H348" t="s">
        <v>70</v>
      </c>
      <c r="I348" t="s">
        <v>30</v>
      </c>
      <c r="J348" t="s">
        <v>17</v>
      </c>
      <c r="K348" t="s">
        <v>18</v>
      </c>
    </row>
    <row r="349" spans="1:11" x14ac:dyDescent="0.3">
      <c r="A349" t="s">
        <v>584</v>
      </c>
      <c r="B349" s="2">
        <v>46161</v>
      </c>
      <c r="C349" t="s">
        <v>585</v>
      </c>
      <c r="D349" t="s">
        <v>84</v>
      </c>
      <c r="E349" t="s">
        <v>22</v>
      </c>
      <c r="F349" s="3">
        <v>1865.89</v>
      </c>
      <c r="G349" t="s">
        <v>15</v>
      </c>
      <c r="I349" t="s">
        <v>30</v>
      </c>
      <c r="J349" t="s">
        <v>17</v>
      </c>
      <c r="K349" t="s">
        <v>18</v>
      </c>
    </row>
    <row r="350" spans="1:11" x14ac:dyDescent="0.3">
      <c r="A350" t="s">
        <v>586</v>
      </c>
      <c r="B350" s="2">
        <v>46282</v>
      </c>
      <c r="C350" t="s">
        <v>38</v>
      </c>
      <c r="D350" t="s">
        <v>29</v>
      </c>
      <c r="E350" t="s">
        <v>22</v>
      </c>
      <c r="F350" s="3">
        <v>1792.62</v>
      </c>
      <c r="G350" t="s">
        <v>23</v>
      </c>
      <c r="H350" t="s">
        <v>162</v>
      </c>
      <c r="I350" t="s">
        <v>30</v>
      </c>
      <c r="J350" t="s">
        <v>17</v>
      </c>
      <c r="K350" t="s">
        <v>47</v>
      </c>
    </row>
    <row r="351" spans="1:11" x14ac:dyDescent="0.3">
      <c r="A351" t="s">
        <v>587</v>
      </c>
      <c r="B351" s="2">
        <v>46030</v>
      </c>
      <c r="C351" t="s">
        <v>177</v>
      </c>
      <c r="D351" t="s">
        <v>36</v>
      </c>
      <c r="E351" t="s">
        <v>14</v>
      </c>
      <c r="F351" s="3">
        <v>2120.9499999999998</v>
      </c>
      <c r="G351" t="s">
        <v>15</v>
      </c>
      <c r="I351" t="s">
        <v>16</v>
      </c>
      <c r="J351" t="s">
        <v>17</v>
      </c>
      <c r="K351" t="s">
        <v>18</v>
      </c>
    </row>
    <row r="352" spans="1:11" x14ac:dyDescent="0.3">
      <c r="A352" t="s">
        <v>588</v>
      </c>
      <c r="B352" s="2">
        <v>46110</v>
      </c>
      <c r="C352" t="s">
        <v>125</v>
      </c>
      <c r="D352" t="s">
        <v>13</v>
      </c>
      <c r="E352" t="s">
        <v>50</v>
      </c>
      <c r="F352" s="3">
        <v>1829.53</v>
      </c>
      <c r="G352" t="s">
        <v>15</v>
      </c>
      <c r="I352" t="s">
        <v>40</v>
      </c>
      <c r="J352" t="s">
        <v>41</v>
      </c>
      <c r="K352" t="s">
        <v>18</v>
      </c>
    </row>
    <row r="353" spans="1:11" x14ac:dyDescent="0.3">
      <c r="A353" t="s">
        <v>589</v>
      </c>
      <c r="B353" s="2">
        <v>46238</v>
      </c>
      <c r="C353" t="s">
        <v>366</v>
      </c>
      <c r="D353" t="s">
        <v>84</v>
      </c>
      <c r="E353" t="s">
        <v>39</v>
      </c>
      <c r="F353" s="3">
        <v>1640.94</v>
      </c>
      <c r="G353" t="s">
        <v>15</v>
      </c>
      <c r="I353" t="s">
        <v>16</v>
      </c>
      <c r="J353" t="s">
        <v>41</v>
      </c>
      <c r="K353" t="s">
        <v>18</v>
      </c>
    </row>
    <row r="354" spans="1:11" x14ac:dyDescent="0.3">
      <c r="A354" t="s">
        <v>590</v>
      </c>
      <c r="B354" s="2">
        <v>46163</v>
      </c>
      <c r="C354" t="s">
        <v>399</v>
      </c>
      <c r="D354" t="s">
        <v>29</v>
      </c>
      <c r="E354" t="s">
        <v>22</v>
      </c>
      <c r="F354" s="3">
        <v>1193.54</v>
      </c>
      <c r="G354" t="s">
        <v>23</v>
      </c>
      <c r="H354" t="s">
        <v>81</v>
      </c>
      <c r="I354" t="s">
        <v>30</v>
      </c>
      <c r="J354" t="s">
        <v>17</v>
      </c>
      <c r="K354" t="s">
        <v>26</v>
      </c>
    </row>
    <row r="355" spans="1:11" x14ac:dyDescent="0.3">
      <c r="A355" t="s">
        <v>591</v>
      </c>
      <c r="B355" s="2">
        <v>46113</v>
      </c>
      <c r="C355" t="s">
        <v>387</v>
      </c>
      <c r="D355" t="s">
        <v>29</v>
      </c>
      <c r="E355" t="s">
        <v>22</v>
      </c>
      <c r="F355" s="3">
        <v>1903.31</v>
      </c>
      <c r="G355" t="s">
        <v>15</v>
      </c>
      <c r="I355" t="s">
        <v>40</v>
      </c>
      <c r="J355" t="s">
        <v>46</v>
      </c>
      <c r="K355" t="s">
        <v>18</v>
      </c>
    </row>
    <row r="356" spans="1:11" x14ac:dyDescent="0.3">
      <c r="A356" t="s">
        <v>592</v>
      </c>
      <c r="B356" s="2">
        <v>46136</v>
      </c>
      <c r="C356" t="s">
        <v>533</v>
      </c>
      <c r="D356" t="s">
        <v>29</v>
      </c>
      <c r="E356" t="s">
        <v>22</v>
      </c>
      <c r="F356" s="3">
        <v>1729.26</v>
      </c>
      <c r="G356" t="s">
        <v>15</v>
      </c>
      <c r="I356" t="s">
        <v>45</v>
      </c>
      <c r="J356" t="s">
        <v>17</v>
      </c>
      <c r="K356" t="s">
        <v>26</v>
      </c>
    </row>
    <row r="357" spans="1:11" x14ac:dyDescent="0.3">
      <c r="A357" t="s">
        <v>593</v>
      </c>
      <c r="B357" s="2">
        <v>46219</v>
      </c>
      <c r="C357" t="s">
        <v>457</v>
      </c>
      <c r="D357" t="s">
        <v>21</v>
      </c>
      <c r="E357" t="s">
        <v>14</v>
      </c>
      <c r="F357" s="3">
        <v>1964.95</v>
      </c>
      <c r="G357" t="s">
        <v>15</v>
      </c>
      <c r="I357" t="s">
        <v>100</v>
      </c>
      <c r="J357" t="s">
        <v>17</v>
      </c>
      <c r="K357" t="s">
        <v>26</v>
      </c>
    </row>
    <row r="358" spans="1:11" x14ac:dyDescent="0.3">
      <c r="A358" t="s">
        <v>594</v>
      </c>
      <c r="B358" s="2">
        <v>46221</v>
      </c>
      <c r="C358" t="s">
        <v>505</v>
      </c>
      <c r="D358" t="s">
        <v>84</v>
      </c>
      <c r="E358" t="s">
        <v>14</v>
      </c>
      <c r="F358" s="3">
        <v>1041.31</v>
      </c>
      <c r="G358" t="s">
        <v>15</v>
      </c>
      <c r="I358" t="s">
        <v>33</v>
      </c>
      <c r="J358" t="s">
        <v>17</v>
      </c>
      <c r="K358" t="s">
        <v>18</v>
      </c>
    </row>
    <row r="359" spans="1:11" x14ac:dyDescent="0.3">
      <c r="A359" t="s">
        <v>595</v>
      </c>
      <c r="B359" s="2">
        <v>46169</v>
      </c>
      <c r="C359" t="s">
        <v>471</v>
      </c>
      <c r="D359" t="s">
        <v>36</v>
      </c>
      <c r="E359" t="s">
        <v>50</v>
      </c>
      <c r="F359" s="3">
        <v>2395.42</v>
      </c>
      <c r="G359" t="s">
        <v>23</v>
      </c>
      <c r="H359" t="s">
        <v>162</v>
      </c>
      <c r="I359" t="s">
        <v>25</v>
      </c>
      <c r="J359" t="s">
        <v>17</v>
      </c>
      <c r="K359" t="s">
        <v>18</v>
      </c>
    </row>
    <row r="360" spans="1:11" x14ac:dyDescent="0.3">
      <c r="A360" t="s">
        <v>596</v>
      </c>
      <c r="B360" s="2">
        <v>46217</v>
      </c>
      <c r="C360" t="s">
        <v>111</v>
      </c>
      <c r="D360" t="s">
        <v>84</v>
      </c>
      <c r="E360" t="s">
        <v>39</v>
      </c>
      <c r="F360" s="3">
        <v>735.36</v>
      </c>
      <c r="G360" t="s">
        <v>15</v>
      </c>
      <c r="I360" t="s">
        <v>45</v>
      </c>
      <c r="J360" t="s">
        <v>17</v>
      </c>
      <c r="K360" t="s">
        <v>18</v>
      </c>
    </row>
    <row r="361" spans="1:11" x14ac:dyDescent="0.3">
      <c r="A361" t="s">
        <v>597</v>
      </c>
      <c r="B361" s="2">
        <v>46091</v>
      </c>
      <c r="C361" t="s">
        <v>109</v>
      </c>
      <c r="D361" t="s">
        <v>13</v>
      </c>
      <c r="E361" t="s">
        <v>22</v>
      </c>
      <c r="F361" s="3">
        <v>2981.29</v>
      </c>
      <c r="G361" t="s">
        <v>15</v>
      </c>
      <c r="I361" t="s">
        <v>25</v>
      </c>
      <c r="J361" t="s">
        <v>17</v>
      </c>
      <c r="K361" t="s">
        <v>26</v>
      </c>
    </row>
    <row r="362" spans="1:11" x14ac:dyDescent="0.3">
      <c r="A362" t="s">
        <v>598</v>
      </c>
      <c r="B362" s="2">
        <v>46160</v>
      </c>
      <c r="C362" t="s">
        <v>137</v>
      </c>
      <c r="D362" t="s">
        <v>36</v>
      </c>
      <c r="E362" t="s">
        <v>22</v>
      </c>
      <c r="F362" s="3">
        <v>775.49</v>
      </c>
      <c r="G362" t="s">
        <v>15</v>
      </c>
      <c r="I362" t="s">
        <v>30</v>
      </c>
      <c r="J362" t="s">
        <v>46</v>
      </c>
      <c r="K362" t="s">
        <v>18</v>
      </c>
    </row>
    <row r="363" spans="1:11" x14ac:dyDescent="0.3">
      <c r="A363" t="s">
        <v>599</v>
      </c>
      <c r="B363" s="2">
        <v>46060</v>
      </c>
      <c r="C363" t="s">
        <v>93</v>
      </c>
      <c r="D363" t="s">
        <v>36</v>
      </c>
      <c r="E363" t="s">
        <v>14</v>
      </c>
      <c r="F363" s="3">
        <v>772.05</v>
      </c>
      <c r="G363" t="s">
        <v>15</v>
      </c>
      <c r="I363" t="s">
        <v>16</v>
      </c>
      <c r="J363" t="s">
        <v>17</v>
      </c>
      <c r="K363" t="s">
        <v>26</v>
      </c>
    </row>
    <row r="364" spans="1:11" x14ac:dyDescent="0.3">
      <c r="A364" t="s">
        <v>600</v>
      </c>
      <c r="B364" s="2">
        <v>46212</v>
      </c>
      <c r="C364" t="s">
        <v>271</v>
      </c>
      <c r="D364" t="s">
        <v>29</v>
      </c>
      <c r="E364" t="s">
        <v>22</v>
      </c>
      <c r="F364" s="3">
        <v>782.17</v>
      </c>
      <c r="G364" t="s">
        <v>15</v>
      </c>
      <c r="I364" t="s">
        <v>25</v>
      </c>
      <c r="J364" t="s">
        <v>17</v>
      </c>
      <c r="K364" t="s">
        <v>47</v>
      </c>
    </row>
    <row r="365" spans="1:11" x14ac:dyDescent="0.3">
      <c r="A365" t="s">
        <v>601</v>
      </c>
      <c r="B365" s="2">
        <v>46044</v>
      </c>
      <c r="C365" t="s">
        <v>239</v>
      </c>
      <c r="D365" t="s">
        <v>13</v>
      </c>
      <c r="E365" t="s">
        <v>22</v>
      </c>
      <c r="F365" s="3">
        <v>2081.2800000000002</v>
      </c>
      <c r="G365" t="s">
        <v>15</v>
      </c>
      <c r="I365" t="s">
        <v>65</v>
      </c>
      <c r="J365" t="s">
        <v>41</v>
      </c>
      <c r="K365" t="s">
        <v>18</v>
      </c>
    </row>
    <row r="366" spans="1:11" x14ac:dyDescent="0.3">
      <c r="A366" t="s">
        <v>602</v>
      </c>
      <c r="B366" s="2">
        <v>46054</v>
      </c>
      <c r="C366" t="s">
        <v>603</v>
      </c>
      <c r="D366" t="s">
        <v>21</v>
      </c>
      <c r="E366" t="s">
        <v>50</v>
      </c>
      <c r="F366" s="3">
        <v>1720.39</v>
      </c>
      <c r="G366" t="s">
        <v>15</v>
      </c>
      <c r="I366" t="s">
        <v>65</v>
      </c>
      <c r="J366" t="s">
        <v>17</v>
      </c>
      <c r="K366" t="s">
        <v>18</v>
      </c>
    </row>
    <row r="367" spans="1:11" x14ac:dyDescent="0.3">
      <c r="A367" t="s">
        <v>604</v>
      </c>
      <c r="B367" s="2">
        <v>46133</v>
      </c>
      <c r="C367" t="s">
        <v>605</v>
      </c>
      <c r="D367" t="s">
        <v>13</v>
      </c>
      <c r="E367" t="s">
        <v>14</v>
      </c>
      <c r="F367" s="3">
        <v>782.93</v>
      </c>
      <c r="G367" t="s">
        <v>15</v>
      </c>
      <c r="I367" t="s">
        <v>100</v>
      </c>
      <c r="J367" t="s">
        <v>17</v>
      </c>
      <c r="K367" t="s">
        <v>18</v>
      </c>
    </row>
    <row r="368" spans="1:11" x14ac:dyDescent="0.3">
      <c r="A368" t="s">
        <v>606</v>
      </c>
      <c r="B368" s="2">
        <v>46103</v>
      </c>
      <c r="C368" t="s">
        <v>129</v>
      </c>
      <c r="D368" t="s">
        <v>29</v>
      </c>
      <c r="E368" t="s">
        <v>22</v>
      </c>
      <c r="F368" s="3">
        <v>2701.42</v>
      </c>
      <c r="G368" t="s">
        <v>23</v>
      </c>
      <c r="H368" t="s">
        <v>81</v>
      </c>
      <c r="I368" t="s">
        <v>16</v>
      </c>
      <c r="J368" t="s">
        <v>41</v>
      </c>
      <c r="K368" t="s">
        <v>26</v>
      </c>
    </row>
    <row r="369" spans="1:11" x14ac:dyDescent="0.3">
      <c r="A369" t="s">
        <v>607</v>
      </c>
      <c r="B369" s="2">
        <v>46273</v>
      </c>
      <c r="C369" t="s">
        <v>515</v>
      </c>
      <c r="D369" t="s">
        <v>29</v>
      </c>
      <c r="E369" t="s">
        <v>22</v>
      </c>
      <c r="F369" s="3">
        <v>2531.9</v>
      </c>
      <c r="G369" t="s">
        <v>15</v>
      </c>
      <c r="I369" t="s">
        <v>100</v>
      </c>
      <c r="J369" t="s">
        <v>17</v>
      </c>
      <c r="K369" t="s">
        <v>26</v>
      </c>
    </row>
    <row r="370" spans="1:11" x14ac:dyDescent="0.3">
      <c r="A370" t="s">
        <v>608</v>
      </c>
      <c r="B370" s="2">
        <v>46085</v>
      </c>
      <c r="C370" t="s">
        <v>427</v>
      </c>
      <c r="D370" t="s">
        <v>29</v>
      </c>
      <c r="E370" t="s">
        <v>22</v>
      </c>
      <c r="F370" s="3">
        <v>2086.21</v>
      </c>
      <c r="G370" t="s">
        <v>15</v>
      </c>
      <c r="I370" t="s">
        <v>45</v>
      </c>
      <c r="J370" t="s">
        <v>17</v>
      </c>
      <c r="K370" t="s">
        <v>18</v>
      </c>
    </row>
    <row r="371" spans="1:11" x14ac:dyDescent="0.3">
      <c r="A371" t="s">
        <v>609</v>
      </c>
      <c r="B371" s="2">
        <v>46065</v>
      </c>
      <c r="C371" t="s">
        <v>610</v>
      </c>
      <c r="D371" t="s">
        <v>84</v>
      </c>
      <c r="E371" t="s">
        <v>39</v>
      </c>
      <c r="F371" s="3">
        <v>2824.05</v>
      </c>
      <c r="G371" t="s">
        <v>15</v>
      </c>
      <c r="I371" t="s">
        <v>45</v>
      </c>
      <c r="J371" t="s">
        <v>46</v>
      </c>
      <c r="K371" t="s">
        <v>18</v>
      </c>
    </row>
    <row r="372" spans="1:11" x14ac:dyDescent="0.3">
      <c r="A372" t="s">
        <v>611</v>
      </c>
      <c r="B372" s="2">
        <v>46190</v>
      </c>
      <c r="C372" t="s">
        <v>612</v>
      </c>
      <c r="D372" t="s">
        <v>13</v>
      </c>
      <c r="E372" t="s">
        <v>14</v>
      </c>
      <c r="F372" s="3">
        <v>1206.3699999999999</v>
      </c>
      <c r="G372" t="s">
        <v>15</v>
      </c>
      <c r="I372" t="s">
        <v>65</v>
      </c>
      <c r="J372" t="s">
        <v>41</v>
      </c>
      <c r="K372" t="s">
        <v>18</v>
      </c>
    </row>
    <row r="373" spans="1:11" x14ac:dyDescent="0.3">
      <c r="A373" t="s">
        <v>613</v>
      </c>
      <c r="B373" s="2">
        <v>46065</v>
      </c>
      <c r="C373" t="s">
        <v>447</v>
      </c>
      <c r="D373" t="s">
        <v>36</v>
      </c>
      <c r="E373" t="s">
        <v>39</v>
      </c>
      <c r="F373" s="3">
        <v>731.31</v>
      </c>
      <c r="G373" t="s">
        <v>23</v>
      </c>
      <c r="H373" t="s">
        <v>138</v>
      </c>
      <c r="I373" t="s">
        <v>16</v>
      </c>
      <c r="J373" t="s">
        <v>17</v>
      </c>
      <c r="K373" t="s">
        <v>18</v>
      </c>
    </row>
    <row r="374" spans="1:11" x14ac:dyDescent="0.3">
      <c r="A374" t="s">
        <v>614</v>
      </c>
      <c r="B374" s="2">
        <v>46029</v>
      </c>
      <c r="C374" t="s">
        <v>442</v>
      </c>
      <c r="D374" t="s">
        <v>21</v>
      </c>
      <c r="E374" t="s">
        <v>39</v>
      </c>
      <c r="F374" s="3">
        <v>1651.88</v>
      </c>
      <c r="G374" t="s">
        <v>15</v>
      </c>
      <c r="I374" t="s">
        <v>30</v>
      </c>
      <c r="J374" t="s">
        <v>17</v>
      </c>
      <c r="K374" t="s">
        <v>26</v>
      </c>
    </row>
    <row r="375" spans="1:11" x14ac:dyDescent="0.3">
      <c r="A375" t="s">
        <v>615</v>
      </c>
      <c r="B375" s="2">
        <v>46034</v>
      </c>
      <c r="C375" t="s">
        <v>447</v>
      </c>
      <c r="D375" t="s">
        <v>21</v>
      </c>
      <c r="E375" t="s">
        <v>22</v>
      </c>
      <c r="F375" s="3">
        <v>1045.95</v>
      </c>
      <c r="G375" t="s">
        <v>15</v>
      </c>
      <c r="I375" t="s">
        <v>100</v>
      </c>
      <c r="J375" t="s">
        <v>17</v>
      </c>
      <c r="K375" t="s">
        <v>26</v>
      </c>
    </row>
    <row r="376" spans="1:11" x14ac:dyDescent="0.3">
      <c r="A376" t="s">
        <v>616</v>
      </c>
      <c r="B376" s="2">
        <v>46091</v>
      </c>
      <c r="C376" t="s">
        <v>177</v>
      </c>
      <c r="D376" t="s">
        <v>13</v>
      </c>
      <c r="E376" t="s">
        <v>50</v>
      </c>
      <c r="F376" s="3">
        <v>802.9</v>
      </c>
      <c r="G376" t="s">
        <v>23</v>
      </c>
      <c r="H376" t="s">
        <v>162</v>
      </c>
      <c r="I376" t="s">
        <v>30</v>
      </c>
      <c r="J376" t="s">
        <v>17</v>
      </c>
      <c r="K376" t="s">
        <v>18</v>
      </c>
    </row>
    <row r="377" spans="1:11" x14ac:dyDescent="0.3">
      <c r="A377" t="s">
        <v>617</v>
      </c>
      <c r="B377" s="2">
        <v>46204</v>
      </c>
      <c r="C377" t="s">
        <v>387</v>
      </c>
      <c r="D377" t="s">
        <v>21</v>
      </c>
      <c r="E377" t="s">
        <v>14</v>
      </c>
      <c r="F377" s="3">
        <v>333.47</v>
      </c>
      <c r="G377" t="s">
        <v>15</v>
      </c>
      <c r="I377" t="s">
        <v>65</v>
      </c>
      <c r="J377" t="s">
        <v>41</v>
      </c>
      <c r="K377" t="s">
        <v>18</v>
      </c>
    </row>
    <row r="378" spans="1:11" x14ac:dyDescent="0.3">
      <c r="A378" t="s">
        <v>618</v>
      </c>
      <c r="B378" s="2">
        <v>46224</v>
      </c>
      <c r="C378" t="s">
        <v>619</v>
      </c>
      <c r="D378" t="s">
        <v>84</v>
      </c>
      <c r="E378" t="s">
        <v>22</v>
      </c>
      <c r="F378" s="3">
        <v>1625.81</v>
      </c>
      <c r="G378" t="s">
        <v>15</v>
      </c>
      <c r="I378" t="s">
        <v>100</v>
      </c>
      <c r="J378" t="s">
        <v>46</v>
      </c>
      <c r="K378" t="s">
        <v>18</v>
      </c>
    </row>
    <row r="379" spans="1:11" x14ac:dyDescent="0.3">
      <c r="A379" t="s">
        <v>620</v>
      </c>
      <c r="B379" s="2">
        <v>46241</v>
      </c>
      <c r="C379" t="s">
        <v>501</v>
      </c>
      <c r="D379" t="s">
        <v>21</v>
      </c>
      <c r="E379" t="s">
        <v>22</v>
      </c>
      <c r="F379" s="3">
        <v>1162.5</v>
      </c>
      <c r="G379" t="s">
        <v>15</v>
      </c>
      <c r="I379" t="s">
        <v>30</v>
      </c>
      <c r="J379" t="s">
        <v>17</v>
      </c>
      <c r="K379" t="s">
        <v>18</v>
      </c>
    </row>
    <row r="380" spans="1:11" x14ac:dyDescent="0.3">
      <c r="A380" t="s">
        <v>621</v>
      </c>
      <c r="B380" s="2">
        <v>46096</v>
      </c>
      <c r="C380" t="s">
        <v>311</v>
      </c>
      <c r="D380" t="s">
        <v>21</v>
      </c>
      <c r="E380" t="s">
        <v>50</v>
      </c>
      <c r="F380" s="3">
        <v>650.03</v>
      </c>
      <c r="G380" t="s">
        <v>15</v>
      </c>
      <c r="I380" t="s">
        <v>100</v>
      </c>
      <c r="J380" t="s">
        <v>46</v>
      </c>
      <c r="K380" t="s">
        <v>18</v>
      </c>
    </row>
    <row r="381" spans="1:11" x14ac:dyDescent="0.3">
      <c r="A381" t="s">
        <v>622</v>
      </c>
      <c r="B381" s="2">
        <v>46130</v>
      </c>
      <c r="C381" t="s">
        <v>585</v>
      </c>
      <c r="D381" t="s">
        <v>21</v>
      </c>
      <c r="E381" t="s">
        <v>22</v>
      </c>
      <c r="F381" s="3">
        <v>1663.76</v>
      </c>
      <c r="G381" t="s">
        <v>15</v>
      </c>
      <c r="I381" t="s">
        <v>16</v>
      </c>
      <c r="J381" t="s">
        <v>17</v>
      </c>
      <c r="K381" t="s">
        <v>26</v>
      </c>
    </row>
    <row r="382" spans="1:11" x14ac:dyDescent="0.3">
      <c r="A382" t="s">
        <v>623</v>
      </c>
      <c r="B382" s="2">
        <v>46229</v>
      </c>
      <c r="C382" t="s">
        <v>624</v>
      </c>
      <c r="D382" t="s">
        <v>29</v>
      </c>
      <c r="E382" t="s">
        <v>50</v>
      </c>
      <c r="F382" s="3">
        <v>346.81</v>
      </c>
      <c r="G382" t="s">
        <v>23</v>
      </c>
      <c r="H382" t="s">
        <v>81</v>
      </c>
      <c r="I382" t="s">
        <v>30</v>
      </c>
      <c r="J382" t="s">
        <v>17</v>
      </c>
      <c r="K382" t="s">
        <v>26</v>
      </c>
    </row>
    <row r="383" spans="1:11" x14ac:dyDescent="0.3">
      <c r="A383" t="s">
        <v>625</v>
      </c>
      <c r="B383" s="2">
        <v>46176</v>
      </c>
      <c r="C383" t="s">
        <v>626</v>
      </c>
      <c r="D383" t="s">
        <v>13</v>
      </c>
      <c r="E383" t="s">
        <v>22</v>
      </c>
      <c r="F383" s="3">
        <v>5958.04</v>
      </c>
      <c r="G383" t="s">
        <v>15</v>
      </c>
      <c r="I383" t="s">
        <v>16</v>
      </c>
      <c r="J383" t="s">
        <v>17</v>
      </c>
      <c r="K383" t="s">
        <v>47</v>
      </c>
    </row>
    <row r="384" spans="1:11" x14ac:dyDescent="0.3">
      <c r="A384" t="s">
        <v>627</v>
      </c>
      <c r="B384" s="2">
        <v>46120</v>
      </c>
      <c r="C384" t="s">
        <v>256</v>
      </c>
      <c r="D384" t="s">
        <v>13</v>
      </c>
      <c r="E384" t="s">
        <v>50</v>
      </c>
      <c r="F384" s="3">
        <v>822.63</v>
      </c>
      <c r="G384" t="s">
        <v>23</v>
      </c>
      <c r="H384" t="s">
        <v>24</v>
      </c>
      <c r="I384" t="s">
        <v>33</v>
      </c>
      <c r="J384" t="s">
        <v>46</v>
      </c>
      <c r="K384" t="s">
        <v>18</v>
      </c>
    </row>
    <row r="385" spans="1:11" x14ac:dyDescent="0.3">
      <c r="A385" t="s">
        <v>628</v>
      </c>
      <c r="B385" s="2">
        <v>46095</v>
      </c>
      <c r="C385" t="s">
        <v>340</v>
      </c>
      <c r="D385" t="s">
        <v>84</v>
      </c>
      <c r="E385" t="s">
        <v>39</v>
      </c>
      <c r="F385" s="3">
        <v>1079.0899999999999</v>
      </c>
      <c r="G385" t="s">
        <v>15</v>
      </c>
      <c r="I385" t="s">
        <v>65</v>
      </c>
      <c r="J385" t="s">
        <v>41</v>
      </c>
      <c r="K385" t="s">
        <v>47</v>
      </c>
    </row>
    <row r="386" spans="1:11" x14ac:dyDescent="0.3">
      <c r="A386" t="s">
        <v>629</v>
      </c>
      <c r="B386" s="2">
        <v>46076</v>
      </c>
      <c r="C386" t="s">
        <v>216</v>
      </c>
      <c r="D386" t="s">
        <v>29</v>
      </c>
      <c r="E386" t="s">
        <v>22</v>
      </c>
      <c r="F386" s="3">
        <v>2071.6799999999998</v>
      </c>
      <c r="G386" t="s">
        <v>15</v>
      </c>
      <c r="I386" t="s">
        <v>33</v>
      </c>
      <c r="J386" t="s">
        <v>46</v>
      </c>
      <c r="K386" t="s">
        <v>47</v>
      </c>
    </row>
    <row r="387" spans="1:11" x14ac:dyDescent="0.3">
      <c r="A387" t="s">
        <v>630</v>
      </c>
      <c r="B387" s="2">
        <v>46270</v>
      </c>
      <c r="C387" t="s">
        <v>69</v>
      </c>
      <c r="D387" t="s">
        <v>21</v>
      </c>
      <c r="E387" t="s">
        <v>22</v>
      </c>
      <c r="F387" s="3">
        <v>941.96</v>
      </c>
      <c r="G387" t="s">
        <v>15</v>
      </c>
      <c r="I387" t="s">
        <v>45</v>
      </c>
      <c r="J387" t="s">
        <v>41</v>
      </c>
      <c r="K387" t="s">
        <v>26</v>
      </c>
    </row>
    <row r="388" spans="1:11" x14ac:dyDescent="0.3">
      <c r="A388" t="s">
        <v>631</v>
      </c>
      <c r="B388" s="2">
        <v>46267</v>
      </c>
      <c r="C388" t="s">
        <v>548</v>
      </c>
      <c r="D388" t="s">
        <v>29</v>
      </c>
      <c r="E388" t="s">
        <v>22</v>
      </c>
      <c r="F388" s="3">
        <v>1570.99</v>
      </c>
      <c r="G388" t="s">
        <v>23</v>
      </c>
      <c r="H388" t="s">
        <v>138</v>
      </c>
      <c r="I388" t="s">
        <v>45</v>
      </c>
      <c r="J388" t="s">
        <v>17</v>
      </c>
      <c r="K388" t="s">
        <v>18</v>
      </c>
    </row>
    <row r="389" spans="1:11" x14ac:dyDescent="0.3">
      <c r="A389" t="s">
        <v>632</v>
      </c>
      <c r="B389" s="2">
        <v>46183</v>
      </c>
      <c r="C389" t="s">
        <v>359</v>
      </c>
      <c r="D389" t="s">
        <v>84</v>
      </c>
      <c r="E389" t="s">
        <v>50</v>
      </c>
      <c r="F389" s="3">
        <v>1837.26</v>
      </c>
      <c r="G389" t="s">
        <v>15</v>
      </c>
      <c r="I389" t="s">
        <v>25</v>
      </c>
      <c r="J389" t="s">
        <v>46</v>
      </c>
      <c r="K389" t="s">
        <v>47</v>
      </c>
    </row>
    <row r="390" spans="1:11" x14ac:dyDescent="0.3">
      <c r="A390" t="s">
        <v>633</v>
      </c>
      <c r="B390" s="2">
        <v>46186</v>
      </c>
      <c r="C390" t="s">
        <v>58</v>
      </c>
      <c r="D390" t="s">
        <v>84</v>
      </c>
      <c r="E390" t="s">
        <v>22</v>
      </c>
      <c r="F390" s="3">
        <v>1270.3399999999999</v>
      </c>
      <c r="G390" t="s">
        <v>15</v>
      </c>
      <c r="I390" t="s">
        <v>25</v>
      </c>
      <c r="J390" t="s">
        <v>41</v>
      </c>
      <c r="K390" t="s">
        <v>26</v>
      </c>
    </row>
    <row r="391" spans="1:11" x14ac:dyDescent="0.3">
      <c r="A391" t="s">
        <v>634</v>
      </c>
      <c r="B391" s="2">
        <v>46231</v>
      </c>
      <c r="C391" t="s">
        <v>635</v>
      </c>
      <c r="D391" t="s">
        <v>21</v>
      </c>
      <c r="E391" t="s">
        <v>44</v>
      </c>
      <c r="F391" s="3">
        <v>2094.54</v>
      </c>
      <c r="G391" t="s">
        <v>23</v>
      </c>
      <c r="H391" t="s">
        <v>162</v>
      </c>
      <c r="I391" t="s">
        <v>45</v>
      </c>
      <c r="J391" t="s">
        <v>17</v>
      </c>
      <c r="K391" t="s">
        <v>47</v>
      </c>
    </row>
    <row r="392" spans="1:11" x14ac:dyDescent="0.3">
      <c r="A392" t="s">
        <v>636</v>
      </c>
      <c r="B392" s="2">
        <v>46078</v>
      </c>
      <c r="C392" t="s">
        <v>637</v>
      </c>
      <c r="D392" t="s">
        <v>21</v>
      </c>
      <c r="E392" t="s">
        <v>39</v>
      </c>
      <c r="F392" s="3">
        <v>875.49</v>
      </c>
      <c r="G392" t="s">
        <v>15</v>
      </c>
      <c r="I392" t="s">
        <v>33</v>
      </c>
      <c r="J392" t="s">
        <v>41</v>
      </c>
      <c r="K392" t="s">
        <v>18</v>
      </c>
    </row>
    <row r="393" spans="1:11" x14ac:dyDescent="0.3">
      <c r="A393" t="s">
        <v>638</v>
      </c>
      <c r="B393" s="2">
        <v>46059</v>
      </c>
      <c r="C393" t="s">
        <v>291</v>
      </c>
      <c r="D393" t="s">
        <v>84</v>
      </c>
      <c r="E393" t="s">
        <v>14</v>
      </c>
      <c r="F393" s="3">
        <v>3334.37</v>
      </c>
      <c r="G393" t="s">
        <v>15</v>
      </c>
      <c r="I393" t="s">
        <v>40</v>
      </c>
      <c r="J393" t="s">
        <v>17</v>
      </c>
      <c r="K393" t="s">
        <v>26</v>
      </c>
    </row>
    <row r="394" spans="1:11" x14ac:dyDescent="0.3">
      <c r="A394" t="s">
        <v>639</v>
      </c>
      <c r="B394" s="2">
        <v>46282</v>
      </c>
      <c r="C394" t="s">
        <v>640</v>
      </c>
      <c r="D394" t="s">
        <v>36</v>
      </c>
      <c r="E394" t="s">
        <v>22</v>
      </c>
      <c r="F394" s="3">
        <v>344.34</v>
      </c>
      <c r="G394" t="s">
        <v>15</v>
      </c>
      <c r="I394" t="s">
        <v>33</v>
      </c>
      <c r="J394" t="s">
        <v>17</v>
      </c>
      <c r="K394" t="s">
        <v>26</v>
      </c>
    </row>
    <row r="395" spans="1:11" x14ac:dyDescent="0.3">
      <c r="A395" t="s">
        <v>641</v>
      </c>
      <c r="B395" s="2">
        <v>46143</v>
      </c>
      <c r="C395" t="s">
        <v>451</v>
      </c>
      <c r="D395" t="s">
        <v>13</v>
      </c>
      <c r="E395" t="s">
        <v>22</v>
      </c>
      <c r="F395" s="3">
        <v>4063.03</v>
      </c>
      <c r="G395" t="s">
        <v>23</v>
      </c>
      <c r="H395" t="s">
        <v>24</v>
      </c>
      <c r="I395" t="s">
        <v>65</v>
      </c>
      <c r="J395" t="s">
        <v>17</v>
      </c>
      <c r="K395" t="s">
        <v>26</v>
      </c>
    </row>
    <row r="396" spans="1:11" x14ac:dyDescent="0.3">
      <c r="A396" t="s">
        <v>642</v>
      </c>
      <c r="B396" s="2">
        <v>46131</v>
      </c>
      <c r="C396" t="s">
        <v>643</v>
      </c>
      <c r="D396" t="s">
        <v>29</v>
      </c>
      <c r="E396" t="s">
        <v>39</v>
      </c>
      <c r="F396" s="3">
        <v>1025.96</v>
      </c>
      <c r="G396" t="s">
        <v>15</v>
      </c>
      <c r="I396" t="s">
        <v>33</v>
      </c>
      <c r="J396" t="s">
        <v>46</v>
      </c>
      <c r="K396" t="s">
        <v>18</v>
      </c>
    </row>
    <row r="397" spans="1:11" x14ac:dyDescent="0.3">
      <c r="A397" t="s">
        <v>644</v>
      </c>
      <c r="B397" s="2">
        <v>46083</v>
      </c>
      <c r="C397" t="s">
        <v>605</v>
      </c>
      <c r="D397" t="s">
        <v>36</v>
      </c>
      <c r="E397" t="s">
        <v>22</v>
      </c>
      <c r="F397" s="3">
        <v>3105.77</v>
      </c>
      <c r="G397" t="s">
        <v>23</v>
      </c>
      <c r="H397" t="s">
        <v>162</v>
      </c>
      <c r="I397" t="s">
        <v>65</v>
      </c>
      <c r="J397" t="s">
        <v>41</v>
      </c>
      <c r="K397" t="s">
        <v>18</v>
      </c>
    </row>
    <row r="398" spans="1:11" x14ac:dyDescent="0.3">
      <c r="A398" t="s">
        <v>645</v>
      </c>
      <c r="B398" s="2">
        <v>46132</v>
      </c>
      <c r="C398" t="s">
        <v>495</v>
      </c>
      <c r="D398" t="s">
        <v>29</v>
      </c>
      <c r="E398" t="s">
        <v>44</v>
      </c>
      <c r="F398" s="3">
        <v>1279.8499999999999</v>
      </c>
      <c r="G398" t="s">
        <v>15</v>
      </c>
      <c r="I398" t="s">
        <v>45</v>
      </c>
      <c r="J398" t="s">
        <v>17</v>
      </c>
      <c r="K398" t="s">
        <v>18</v>
      </c>
    </row>
    <row r="399" spans="1:11" x14ac:dyDescent="0.3">
      <c r="A399" t="s">
        <v>646</v>
      </c>
      <c r="B399" s="2">
        <v>46061</v>
      </c>
      <c r="C399" t="s">
        <v>510</v>
      </c>
      <c r="D399" t="s">
        <v>13</v>
      </c>
      <c r="E399" t="s">
        <v>22</v>
      </c>
      <c r="F399" s="3">
        <v>227.15</v>
      </c>
      <c r="G399" t="s">
        <v>15</v>
      </c>
      <c r="I399" t="s">
        <v>40</v>
      </c>
      <c r="J399" t="s">
        <v>46</v>
      </c>
      <c r="K399" t="s">
        <v>18</v>
      </c>
    </row>
    <row r="400" spans="1:11" x14ac:dyDescent="0.3">
      <c r="A400" t="s">
        <v>647</v>
      </c>
      <c r="B400" s="2">
        <v>46236</v>
      </c>
      <c r="C400" t="s">
        <v>466</v>
      </c>
      <c r="D400" t="s">
        <v>36</v>
      </c>
      <c r="E400" t="s">
        <v>22</v>
      </c>
      <c r="F400" s="3">
        <v>911.1</v>
      </c>
      <c r="G400" t="s">
        <v>15</v>
      </c>
      <c r="I400" t="s">
        <v>16</v>
      </c>
      <c r="J400" t="s">
        <v>17</v>
      </c>
      <c r="K400" t="s">
        <v>18</v>
      </c>
    </row>
    <row r="401" spans="1:11" x14ac:dyDescent="0.3">
      <c r="A401" t="s">
        <v>648</v>
      </c>
      <c r="B401" s="2">
        <v>46156</v>
      </c>
      <c r="C401" t="s">
        <v>649</v>
      </c>
      <c r="D401" t="s">
        <v>29</v>
      </c>
      <c r="E401" t="s">
        <v>14</v>
      </c>
      <c r="F401" s="3">
        <v>302.76</v>
      </c>
      <c r="G401" t="s">
        <v>23</v>
      </c>
      <c r="H401" t="s">
        <v>70</v>
      </c>
      <c r="I401" t="s">
        <v>25</v>
      </c>
      <c r="J401" t="s">
        <v>17</v>
      </c>
      <c r="K401" t="s">
        <v>18</v>
      </c>
    </row>
    <row r="402" spans="1:11" x14ac:dyDescent="0.3">
      <c r="A402" t="s">
        <v>650</v>
      </c>
      <c r="B402" s="2">
        <v>46160</v>
      </c>
      <c r="C402" t="s">
        <v>459</v>
      </c>
      <c r="D402" t="s">
        <v>84</v>
      </c>
      <c r="E402" t="s">
        <v>22</v>
      </c>
      <c r="F402" s="3">
        <v>2777.31</v>
      </c>
      <c r="G402" t="s">
        <v>15</v>
      </c>
      <c r="I402" t="s">
        <v>33</v>
      </c>
      <c r="J402" t="s">
        <v>17</v>
      </c>
      <c r="K402" t="s">
        <v>18</v>
      </c>
    </row>
    <row r="403" spans="1:11" x14ac:dyDescent="0.3">
      <c r="A403" t="s">
        <v>651</v>
      </c>
      <c r="B403" s="2">
        <v>46169</v>
      </c>
      <c r="C403" t="s">
        <v>381</v>
      </c>
      <c r="D403" t="s">
        <v>36</v>
      </c>
      <c r="E403" t="s">
        <v>22</v>
      </c>
      <c r="F403" s="3">
        <v>4748.1899999999996</v>
      </c>
      <c r="G403" t="s">
        <v>15</v>
      </c>
      <c r="I403" t="s">
        <v>65</v>
      </c>
      <c r="J403" t="s">
        <v>17</v>
      </c>
      <c r="K403" t="s">
        <v>18</v>
      </c>
    </row>
    <row r="404" spans="1:11" x14ac:dyDescent="0.3">
      <c r="A404" t="s">
        <v>652</v>
      </c>
      <c r="B404" s="2">
        <v>46041</v>
      </c>
      <c r="C404" t="s">
        <v>181</v>
      </c>
      <c r="D404" t="s">
        <v>13</v>
      </c>
      <c r="E404" t="s">
        <v>14</v>
      </c>
      <c r="F404" s="3">
        <v>635.80999999999995</v>
      </c>
      <c r="G404" t="s">
        <v>15</v>
      </c>
      <c r="I404" t="s">
        <v>40</v>
      </c>
      <c r="J404" t="s">
        <v>17</v>
      </c>
      <c r="K404" t="s">
        <v>18</v>
      </c>
    </row>
    <row r="405" spans="1:11" x14ac:dyDescent="0.3">
      <c r="A405" t="s">
        <v>653</v>
      </c>
      <c r="B405" s="2">
        <v>46261</v>
      </c>
      <c r="C405" t="s">
        <v>265</v>
      </c>
      <c r="D405" t="s">
        <v>29</v>
      </c>
      <c r="E405" t="s">
        <v>22</v>
      </c>
      <c r="F405" s="3">
        <v>4358.84</v>
      </c>
      <c r="G405" t="s">
        <v>15</v>
      </c>
      <c r="I405" t="s">
        <v>100</v>
      </c>
      <c r="J405" t="s">
        <v>17</v>
      </c>
      <c r="K405" t="s">
        <v>18</v>
      </c>
    </row>
    <row r="406" spans="1:11" x14ac:dyDescent="0.3">
      <c r="A406" t="s">
        <v>654</v>
      </c>
      <c r="B406" s="2">
        <v>46039</v>
      </c>
      <c r="C406" t="s">
        <v>125</v>
      </c>
      <c r="D406" t="s">
        <v>84</v>
      </c>
      <c r="E406" t="s">
        <v>39</v>
      </c>
      <c r="F406" s="3">
        <v>841.71</v>
      </c>
      <c r="G406" t="s">
        <v>15</v>
      </c>
      <c r="I406" t="s">
        <v>45</v>
      </c>
      <c r="J406" t="s">
        <v>46</v>
      </c>
      <c r="K406" t="s">
        <v>26</v>
      </c>
    </row>
    <row r="407" spans="1:11" x14ac:dyDescent="0.3">
      <c r="A407" t="s">
        <v>655</v>
      </c>
      <c r="B407" s="2">
        <v>46047</v>
      </c>
      <c r="C407" t="s">
        <v>76</v>
      </c>
      <c r="D407" t="s">
        <v>21</v>
      </c>
      <c r="E407" t="s">
        <v>50</v>
      </c>
      <c r="F407" s="3">
        <v>457.95</v>
      </c>
      <c r="G407" t="s">
        <v>15</v>
      </c>
      <c r="I407" t="s">
        <v>16</v>
      </c>
      <c r="J407" t="s">
        <v>46</v>
      </c>
      <c r="K407" t="s">
        <v>18</v>
      </c>
    </row>
    <row r="408" spans="1:11" x14ac:dyDescent="0.3">
      <c r="A408" t="s">
        <v>656</v>
      </c>
      <c r="B408" s="2">
        <v>46047</v>
      </c>
      <c r="C408" t="s">
        <v>439</v>
      </c>
      <c r="D408" t="s">
        <v>13</v>
      </c>
      <c r="E408" t="s">
        <v>14</v>
      </c>
      <c r="F408" s="3">
        <v>2384.25</v>
      </c>
      <c r="G408" t="s">
        <v>15</v>
      </c>
      <c r="I408" t="s">
        <v>45</v>
      </c>
      <c r="J408" t="s">
        <v>46</v>
      </c>
      <c r="K408" t="s">
        <v>18</v>
      </c>
    </row>
    <row r="409" spans="1:11" x14ac:dyDescent="0.3">
      <c r="A409" t="s">
        <v>657</v>
      </c>
      <c r="B409" s="2">
        <v>46255</v>
      </c>
      <c r="C409" t="s">
        <v>406</v>
      </c>
      <c r="D409" t="s">
        <v>13</v>
      </c>
      <c r="E409" t="s">
        <v>22</v>
      </c>
      <c r="F409" s="3">
        <v>2684.13</v>
      </c>
      <c r="G409" t="s">
        <v>15</v>
      </c>
      <c r="I409" t="s">
        <v>30</v>
      </c>
      <c r="J409" t="s">
        <v>41</v>
      </c>
      <c r="K409" t="s">
        <v>18</v>
      </c>
    </row>
    <row r="410" spans="1:11" x14ac:dyDescent="0.3">
      <c r="A410" t="s">
        <v>658</v>
      </c>
      <c r="B410" s="2">
        <v>46203</v>
      </c>
      <c r="C410" t="s">
        <v>213</v>
      </c>
      <c r="D410" t="s">
        <v>84</v>
      </c>
      <c r="E410" t="s">
        <v>22</v>
      </c>
      <c r="F410" s="3">
        <v>4483.97</v>
      </c>
      <c r="G410" t="s">
        <v>15</v>
      </c>
      <c r="I410" t="s">
        <v>65</v>
      </c>
      <c r="J410" t="s">
        <v>17</v>
      </c>
      <c r="K410" t="s">
        <v>18</v>
      </c>
    </row>
    <row r="411" spans="1:11" x14ac:dyDescent="0.3">
      <c r="A411" t="s">
        <v>659</v>
      </c>
      <c r="B411" s="2">
        <v>46242</v>
      </c>
      <c r="C411" t="s">
        <v>337</v>
      </c>
      <c r="D411" t="s">
        <v>29</v>
      </c>
      <c r="E411" t="s">
        <v>22</v>
      </c>
      <c r="F411" s="3">
        <v>536.41999999999996</v>
      </c>
      <c r="G411" t="s">
        <v>149</v>
      </c>
      <c r="I411" t="s">
        <v>100</v>
      </c>
      <c r="J411" t="s">
        <v>17</v>
      </c>
      <c r="K411" t="s">
        <v>18</v>
      </c>
    </row>
    <row r="412" spans="1:11" x14ac:dyDescent="0.3">
      <c r="A412" t="s">
        <v>660</v>
      </c>
      <c r="B412" s="2">
        <v>46243</v>
      </c>
      <c r="C412" t="s">
        <v>649</v>
      </c>
      <c r="D412" t="s">
        <v>21</v>
      </c>
      <c r="E412" t="s">
        <v>22</v>
      </c>
      <c r="F412" s="3">
        <v>293.73</v>
      </c>
      <c r="G412" t="s">
        <v>15</v>
      </c>
      <c r="I412" t="s">
        <v>16</v>
      </c>
      <c r="J412" t="s">
        <v>17</v>
      </c>
      <c r="K412" t="s">
        <v>18</v>
      </c>
    </row>
    <row r="413" spans="1:11" x14ac:dyDescent="0.3">
      <c r="A413" t="s">
        <v>661</v>
      </c>
      <c r="B413" s="2">
        <v>46129</v>
      </c>
      <c r="C413" t="s">
        <v>501</v>
      </c>
      <c r="D413" t="s">
        <v>21</v>
      </c>
      <c r="E413" t="s">
        <v>44</v>
      </c>
      <c r="F413" s="3">
        <v>1910</v>
      </c>
      <c r="G413" t="s">
        <v>15</v>
      </c>
      <c r="I413" t="s">
        <v>40</v>
      </c>
      <c r="J413" t="s">
        <v>41</v>
      </c>
      <c r="K413" t="s">
        <v>18</v>
      </c>
    </row>
    <row r="414" spans="1:11" x14ac:dyDescent="0.3">
      <c r="A414" t="s">
        <v>662</v>
      </c>
      <c r="B414" s="2">
        <v>46229</v>
      </c>
      <c r="C414" t="s">
        <v>663</v>
      </c>
      <c r="D414" t="s">
        <v>84</v>
      </c>
      <c r="E414" t="s">
        <v>22</v>
      </c>
      <c r="F414" s="3">
        <v>1297.29</v>
      </c>
      <c r="G414" t="s">
        <v>15</v>
      </c>
      <c r="I414" t="s">
        <v>100</v>
      </c>
      <c r="J414" t="s">
        <v>17</v>
      </c>
      <c r="K414" t="s">
        <v>18</v>
      </c>
    </row>
    <row r="415" spans="1:11" x14ac:dyDescent="0.3">
      <c r="A415" t="s">
        <v>664</v>
      </c>
      <c r="B415" s="2">
        <v>46231</v>
      </c>
      <c r="C415" t="s">
        <v>459</v>
      </c>
      <c r="D415" t="s">
        <v>21</v>
      </c>
      <c r="E415" t="s">
        <v>22</v>
      </c>
      <c r="F415" s="3">
        <v>777.27</v>
      </c>
      <c r="G415" t="s">
        <v>15</v>
      </c>
      <c r="I415" t="s">
        <v>65</v>
      </c>
      <c r="J415" t="s">
        <v>41</v>
      </c>
      <c r="K415" t="s">
        <v>18</v>
      </c>
    </row>
    <row r="416" spans="1:11" x14ac:dyDescent="0.3">
      <c r="A416" t="s">
        <v>665</v>
      </c>
      <c r="B416" s="2">
        <v>46242</v>
      </c>
      <c r="C416" t="s">
        <v>91</v>
      </c>
      <c r="D416" t="s">
        <v>21</v>
      </c>
      <c r="E416" t="s">
        <v>22</v>
      </c>
      <c r="F416" s="3">
        <v>526.19000000000005</v>
      </c>
      <c r="G416" t="s">
        <v>15</v>
      </c>
      <c r="I416" t="s">
        <v>100</v>
      </c>
      <c r="J416" t="s">
        <v>41</v>
      </c>
      <c r="K416" t="s">
        <v>47</v>
      </c>
    </row>
    <row r="417" spans="1:11" x14ac:dyDescent="0.3">
      <c r="A417" t="s">
        <v>666</v>
      </c>
      <c r="B417" s="2">
        <v>46084</v>
      </c>
      <c r="C417" t="s">
        <v>610</v>
      </c>
      <c r="D417" t="s">
        <v>84</v>
      </c>
      <c r="E417" t="s">
        <v>22</v>
      </c>
      <c r="F417" s="3">
        <v>921.69</v>
      </c>
      <c r="G417" t="s">
        <v>15</v>
      </c>
      <c r="I417" t="s">
        <v>100</v>
      </c>
      <c r="J417" t="s">
        <v>41</v>
      </c>
      <c r="K417" t="s">
        <v>18</v>
      </c>
    </row>
    <row r="418" spans="1:11" x14ac:dyDescent="0.3">
      <c r="A418" t="s">
        <v>667</v>
      </c>
      <c r="B418" s="2">
        <v>46062</v>
      </c>
      <c r="C418" t="s">
        <v>668</v>
      </c>
      <c r="D418" t="s">
        <v>84</v>
      </c>
      <c r="E418" t="s">
        <v>39</v>
      </c>
      <c r="F418" s="3">
        <v>2605.87</v>
      </c>
      <c r="G418" t="s">
        <v>15</v>
      </c>
      <c r="I418" t="s">
        <v>33</v>
      </c>
      <c r="J418" t="s">
        <v>41</v>
      </c>
      <c r="K418" t="s">
        <v>18</v>
      </c>
    </row>
    <row r="419" spans="1:11" x14ac:dyDescent="0.3">
      <c r="A419" t="s">
        <v>669</v>
      </c>
      <c r="B419" s="2">
        <v>46168</v>
      </c>
      <c r="C419" t="s">
        <v>320</v>
      </c>
      <c r="D419" t="s">
        <v>29</v>
      </c>
      <c r="E419" t="s">
        <v>44</v>
      </c>
      <c r="F419" s="3">
        <v>1486.36</v>
      </c>
      <c r="G419" t="s">
        <v>15</v>
      </c>
      <c r="I419" t="s">
        <v>65</v>
      </c>
      <c r="J419" t="s">
        <v>17</v>
      </c>
      <c r="K419" t="s">
        <v>18</v>
      </c>
    </row>
    <row r="420" spans="1:11" x14ac:dyDescent="0.3">
      <c r="A420" t="s">
        <v>670</v>
      </c>
      <c r="B420" s="2">
        <v>46244</v>
      </c>
      <c r="C420" t="s">
        <v>221</v>
      </c>
      <c r="D420" t="s">
        <v>13</v>
      </c>
      <c r="E420" t="s">
        <v>39</v>
      </c>
      <c r="F420" s="3">
        <v>1352.96</v>
      </c>
      <c r="G420" t="s">
        <v>15</v>
      </c>
      <c r="I420" t="s">
        <v>40</v>
      </c>
      <c r="J420" t="s">
        <v>17</v>
      </c>
      <c r="K420" t="s">
        <v>26</v>
      </c>
    </row>
    <row r="421" spans="1:11" x14ac:dyDescent="0.3">
      <c r="A421" t="s">
        <v>671</v>
      </c>
      <c r="B421" s="2">
        <v>46229</v>
      </c>
      <c r="C421" t="s">
        <v>56</v>
      </c>
      <c r="D421" t="s">
        <v>36</v>
      </c>
      <c r="E421" t="s">
        <v>14</v>
      </c>
      <c r="F421" s="3">
        <v>380.56</v>
      </c>
      <c r="G421" t="s">
        <v>15</v>
      </c>
      <c r="I421" t="s">
        <v>40</v>
      </c>
      <c r="J421" t="s">
        <v>41</v>
      </c>
      <c r="K421" t="s">
        <v>18</v>
      </c>
    </row>
    <row r="422" spans="1:11" x14ac:dyDescent="0.3">
      <c r="A422" t="s">
        <v>672</v>
      </c>
      <c r="B422" s="2">
        <v>46187</v>
      </c>
      <c r="C422" t="s">
        <v>521</v>
      </c>
      <c r="D422" t="s">
        <v>84</v>
      </c>
      <c r="E422" t="s">
        <v>50</v>
      </c>
      <c r="F422" s="3">
        <v>935.05</v>
      </c>
      <c r="G422" t="s">
        <v>23</v>
      </c>
      <c r="H422" t="s">
        <v>198</v>
      </c>
      <c r="I422" t="s">
        <v>65</v>
      </c>
      <c r="J422" t="s">
        <v>17</v>
      </c>
      <c r="K422" t="s">
        <v>47</v>
      </c>
    </row>
    <row r="423" spans="1:11" x14ac:dyDescent="0.3">
      <c r="A423" t="s">
        <v>673</v>
      </c>
      <c r="B423" s="2">
        <v>46126</v>
      </c>
      <c r="C423" t="s">
        <v>287</v>
      </c>
      <c r="D423" t="s">
        <v>84</v>
      </c>
      <c r="E423" t="s">
        <v>50</v>
      </c>
      <c r="F423" s="3">
        <v>1734.95</v>
      </c>
      <c r="G423" t="s">
        <v>15</v>
      </c>
      <c r="I423" t="s">
        <v>40</v>
      </c>
      <c r="J423" t="s">
        <v>41</v>
      </c>
      <c r="K423" t="s">
        <v>47</v>
      </c>
    </row>
    <row r="424" spans="1:11" x14ac:dyDescent="0.3">
      <c r="A424" t="s">
        <v>674</v>
      </c>
      <c r="B424" s="2">
        <v>46198</v>
      </c>
      <c r="C424" t="s">
        <v>675</v>
      </c>
      <c r="D424" t="s">
        <v>13</v>
      </c>
      <c r="E424" t="s">
        <v>22</v>
      </c>
      <c r="F424" s="3">
        <v>7533.93</v>
      </c>
      <c r="G424" t="s">
        <v>15</v>
      </c>
      <c r="I424" t="s">
        <v>45</v>
      </c>
      <c r="J424" t="s">
        <v>46</v>
      </c>
      <c r="K424" t="s">
        <v>47</v>
      </c>
    </row>
    <row r="425" spans="1:11" x14ac:dyDescent="0.3">
      <c r="A425" t="s">
        <v>676</v>
      </c>
      <c r="B425" s="2">
        <v>46108</v>
      </c>
      <c r="C425" t="s">
        <v>242</v>
      </c>
      <c r="D425" t="s">
        <v>84</v>
      </c>
      <c r="E425" t="s">
        <v>22</v>
      </c>
      <c r="F425" s="3">
        <v>496.63</v>
      </c>
      <c r="G425" t="s">
        <v>15</v>
      </c>
      <c r="I425" t="s">
        <v>45</v>
      </c>
      <c r="J425" t="s">
        <v>41</v>
      </c>
      <c r="K425" t="s">
        <v>18</v>
      </c>
    </row>
    <row r="426" spans="1:11" x14ac:dyDescent="0.3">
      <c r="A426" t="s">
        <v>677</v>
      </c>
      <c r="B426" s="2">
        <v>46025</v>
      </c>
      <c r="C426" t="s">
        <v>221</v>
      </c>
      <c r="D426" t="s">
        <v>29</v>
      </c>
      <c r="E426" t="s">
        <v>50</v>
      </c>
      <c r="F426" s="3">
        <v>2477.85</v>
      </c>
      <c r="G426" t="s">
        <v>15</v>
      </c>
      <c r="I426" t="s">
        <v>33</v>
      </c>
      <c r="J426" t="s">
        <v>46</v>
      </c>
      <c r="K426" t="s">
        <v>26</v>
      </c>
    </row>
    <row r="427" spans="1:11" x14ac:dyDescent="0.3">
      <c r="A427" t="s">
        <v>678</v>
      </c>
      <c r="B427" s="2">
        <v>46083</v>
      </c>
      <c r="C427" t="s">
        <v>410</v>
      </c>
      <c r="D427" t="s">
        <v>36</v>
      </c>
      <c r="E427" t="s">
        <v>22</v>
      </c>
      <c r="F427" s="3">
        <v>1537.64</v>
      </c>
      <c r="G427" t="s">
        <v>23</v>
      </c>
      <c r="H427" t="s">
        <v>198</v>
      </c>
      <c r="I427" t="s">
        <v>65</v>
      </c>
      <c r="J427" t="s">
        <v>17</v>
      </c>
      <c r="K427" t="s">
        <v>47</v>
      </c>
    </row>
    <row r="428" spans="1:11" x14ac:dyDescent="0.3">
      <c r="A428" t="s">
        <v>679</v>
      </c>
      <c r="B428" s="2">
        <v>46219</v>
      </c>
      <c r="C428" t="s">
        <v>74</v>
      </c>
      <c r="D428" t="s">
        <v>84</v>
      </c>
      <c r="E428" t="s">
        <v>22</v>
      </c>
      <c r="F428" s="3">
        <v>817.11</v>
      </c>
      <c r="G428" t="s">
        <v>23</v>
      </c>
      <c r="H428" t="s">
        <v>70</v>
      </c>
      <c r="I428" t="s">
        <v>33</v>
      </c>
      <c r="J428" t="s">
        <v>46</v>
      </c>
      <c r="K428" t="s">
        <v>18</v>
      </c>
    </row>
    <row r="429" spans="1:11" x14ac:dyDescent="0.3">
      <c r="A429" t="s">
        <v>680</v>
      </c>
      <c r="B429" s="2">
        <v>46211</v>
      </c>
      <c r="C429" t="s">
        <v>350</v>
      </c>
      <c r="D429" t="s">
        <v>84</v>
      </c>
      <c r="E429" t="s">
        <v>50</v>
      </c>
      <c r="F429" s="3">
        <v>6342.9</v>
      </c>
      <c r="G429" t="s">
        <v>15</v>
      </c>
      <c r="I429" t="s">
        <v>65</v>
      </c>
      <c r="J429" t="s">
        <v>46</v>
      </c>
      <c r="K429" t="s">
        <v>18</v>
      </c>
    </row>
    <row r="430" spans="1:11" x14ac:dyDescent="0.3">
      <c r="A430" t="s">
        <v>681</v>
      </c>
      <c r="B430" s="2">
        <v>46081</v>
      </c>
      <c r="C430" t="s">
        <v>682</v>
      </c>
      <c r="D430" t="s">
        <v>21</v>
      </c>
      <c r="E430" t="s">
        <v>22</v>
      </c>
      <c r="F430" s="3">
        <v>2562.33</v>
      </c>
      <c r="G430" t="s">
        <v>15</v>
      </c>
      <c r="I430" t="s">
        <v>45</v>
      </c>
      <c r="J430" t="s">
        <v>17</v>
      </c>
      <c r="K430" t="s">
        <v>26</v>
      </c>
    </row>
    <row r="431" spans="1:11" x14ac:dyDescent="0.3">
      <c r="A431" t="s">
        <v>683</v>
      </c>
      <c r="B431" s="2">
        <v>46236</v>
      </c>
      <c r="C431" t="s">
        <v>159</v>
      </c>
      <c r="D431" t="s">
        <v>29</v>
      </c>
      <c r="E431" t="s">
        <v>50</v>
      </c>
      <c r="F431" s="3">
        <v>3281.92</v>
      </c>
      <c r="G431" t="s">
        <v>15</v>
      </c>
      <c r="I431" t="s">
        <v>100</v>
      </c>
      <c r="J431" t="s">
        <v>46</v>
      </c>
      <c r="K431" t="s">
        <v>18</v>
      </c>
    </row>
    <row r="432" spans="1:11" x14ac:dyDescent="0.3">
      <c r="A432" t="s">
        <v>684</v>
      </c>
      <c r="B432" s="2">
        <v>46081</v>
      </c>
      <c r="C432" t="s">
        <v>224</v>
      </c>
      <c r="D432" t="s">
        <v>21</v>
      </c>
      <c r="E432" t="s">
        <v>39</v>
      </c>
      <c r="F432" s="3">
        <v>2264.17</v>
      </c>
      <c r="G432" t="s">
        <v>15</v>
      </c>
      <c r="I432" t="s">
        <v>33</v>
      </c>
      <c r="J432" t="s">
        <v>17</v>
      </c>
      <c r="K432" t="s">
        <v>18</v>
      </c>
    </row>
    <row r="433" spans="1:11" x14ac:dyDescent="0.3">
      <c r="A433" t="s">
        <v>685</v>
      </c>
      <c r="B433" s="2">
        <v>46252</v>
      </c>
      <c r="C433" t="s">
        <v>193</v>
      </c>
      <c r="D433" t="s">
        <v>84</v>
      </c>
      <c r="E433" t="s">
        <v>50</v>
      </c>
      <c r="F433" s="3">
        <v>1745.68</v>
      </c>
      <c r="G433" t="s">
        <v>15</v>
      </c>
      <c r="I433" t="s">
        <v>30</v>
      </c>
      <c r="J433" t="s">
        <v>17</v>
      </c>
      <c r="K433" t="s">
        <v>18</v>
      </c>
    </row>
    <row r="434" spans="1:11" x14ac:dyDescent="0.3">
      <c r="A434" t="s">
        <v>686</v>
      </c>
      <c r="B434" s="2">
        <v>46051</v>
      </c>
      <c r="C434" t="s">
        <v>49</v>
      </c>
      <c r="D434" t="s">
        <v>36</v>
      </c>
      <c r="E434" t="s">
        <v>50</v>
      </c>
      <c r="F434" s="3">
        <v>654.91</v>
      </c>
      <c r="G434" t="s">
        <v>15</v>
      </c>
      <c r="I434" t="s">
        <v>16</v>
      </c>
      <c r="J434" t="s">
        <v>46</v>
      </c>
      <c r="K434" t="s">
        <v>26</v>
      </c>
    </row>
    <row r="435" spans="1:11" x14ac:dyDescent="0.3">
      <c r="A435" t="s">
        <v>687</v>
      </c>
      <c r="B435" s="2">
        <v>46261</v>
      </c>
      <c r="C435" t="s">
        <v>58</v>
      </c>
      <c r="D435" t="s">
        <v>21</v>
      </c>
      <c r="E435" t="s">
        <v>50</v>
      </c>
      <c r="F435" s="3">
        <v>1073.1199999999999</v>
      </c>
      <c r="G435" t="s">
        <v>15</v>
      </c>
      <c r="I435" t="s">
        <v>100</v>
      </c>
      <c r="J435" t="s">
        <v>41</v>
      </c>
      <c r="K435" t="s">
        <v>47</v>
      </c>
    </row>
    <row r="436" spans="1:11" x14ac:dyDescent="0.3">
      <c r="A436" t="s">
        <v>688</v>
      </c>
      <c r="B436" s="2">
        <v>46234</v>
      </c>
      <c r="C436" t="s">
        <v>501</v>
      </c>
      <c r="D436" t="s">
        <v>29</v>
      </c>
      <c r="E436" t="s">
        <v>50</v>
      </c>
      <c r="F436" s="3">
        <v>2010.78</v>
      </c>
      <c r="G436" t="s">
        <v>15</v>
      </c>
      <c r="I436" t="s">
        <v>65</v>
      </c>
      <c r="J436" t="s">
        <v>46</v>
      </c>
      <c r="K436" t="s">
        <v>26</v>
      </c>
    </row>
    <row r="437" spans="1:11" x14ac:dyDescent="0.3">
      <c r="A437" t="s">
        <v>689</v>
      </c>
      <c r="B437" s="2">
        <v>46253</v>
      </c>
      <c r="C437" t="s">
        <v>423</v>
      </c>
      <c r="D437" t="s">
        <v>36</v>
      </c>
      <c r="E437" t="s">
        <v>22</v>
      </c>
      <c r="F437" s="3">
        <v>557.79999999999995</v>
      </c>
      <c r="G437" t="s">
        <v>15</v>
      </c>
      <c r="I437" t="s">
        <v>45</v>
      </c>
      <c r="J437" t="s">
        <v>41</v>
      </c>
      <c r="K437" t="s">
        <v>47</v>
      </c>
    </row>
    <row r="438" spans="1:11" x14ac:dyDescent="0.3">
      <c r="A438" t="s">
        <v>690</v>
      </c>
      <c r="B438" s="2">
        <v>46033</v>
      </c>
      <c r="C438" t="s">
        <v>691</v>
      </c>
      <c r="D438" t="s">
        <v>21</v>
      </c>
      <c r="E438" t="s">
        <v>22</v>
      </c>
      <c r="F438" s="3">
        <v>891.78</v>
      </c>
      <c r="G438" t="s">
        <v>15</v>
      </c>
      <c r="I438" t="s">
        <v>33</v>
      </c>
      <c r="J438" t="s">
        <v>17</v>
      </c>
      <c r="K438" t="s">
        <v>47</v>
      </c>
    </row>
    <row r="439" spans="1:11" x14ac:dyDescent="0.3">
      <c r="A439" t="s">
        <v>692</v>
      </c>
      <c r="B439" s="2">
        <v>46106</v>
      </c>
      <c r="C439" t="s">
        <v>406</v>
      </c>
      <c r="D439" t="s">
        <v>29</v>
      </c>
      <c r="E439" t="s">
        <v>44</v>
      </c>
      <c r="F439" s="3">
        <v>3346.04</v>
      </c>
      <c r="G439" t="s">
        <v>15</v>
      </c>
      <c r="I439" t="s">
        <v>65</v>
      </c>
      <c r="J439" t="s">
        <v>17</v>
      </c>
      <c r="K439" t="s">
        <v>18</v>
      </c>
    </row>
    <row r="440" spans="1:11" x14ac:dyDescent="0.3">
      <c r="A440" t="s">
        <v>693</v>
      </c>
      <c r="B440" s="2">
        <v>46132</v>
      </c>
      <c r="C440" t="s">
        <v>605</v>
      </c>
      <c r="D440" t="s">
        <v>84</v>
      </c>
      <c r="E440" t="s">
        <v>22</v>
      </c>
      <c r="F440" s="3">
        <v>467.55</v>
      </c>
      <c r="G440" t="s">
        <v>15</v>
      </c>
      <c r="I440" t="s">
        <v>16</v>
      </c>
      <c r="J440" t="s">
        <v>17</v>
      </c>
      <c r="K440" t="s">
        <v>18</v>
      </c>
    </row>
    <row r="441" spans="1:11" x14ac:dyDescent="0.3">
      <c r="A441" t="s">
        <v>694</v>
      </c>
      <c r="B441" s="2">
        <v>46123</v>
      </c>
      <c r="C441" t="s">
        <v>208</v>
      </c>
      <c r="D441" t="s">
        <v>36</v>
      </c>
      <c r="E441" t="s">
        <v>22</v>
      </c>
      <c r="F441" s="3">
        <v>1861.61</v>
      </c>
      <c r="G441" t="s">
        <v>149</v>
      </c>
      <c r="I441" t="s">
        <v>16</v>
      </c>
      <c r="J441" t="s">
        <v>41</v>
      </c>
      <c r="K441" t="s">
        <v>18</v>
      </c>
    </row>
    <row r="442" spans="1:11" x14ac:dyDescent="0.3">
      <c r="A442" t="s">
        <v>695</v>
      </c>
      <c r="B442" s="2">
        <v>46152</v>
      </c>
      <c r="C442" t="s">
        <v>186</v>
      </c>
      <c r="D442" t="s">
        <v>13</v>
      </c>
      <c r="E442" t="s">
        <v>50</v>
      </c>
      <c r="F442" s="3">
        <v>1790.04</v>
      </c>
      <c r="G442" t="s">
        <v>15</v>
      </c>
      <c r="I442" t="s">
        <v>65</v>
      </c>
      <c r="J442" t="s">
        <v>17</v>
      </c>
      <c r="K442" t="s">
        <v>18</v>
      </c>
    </row>
    <row r="443" spans="1:11" x14ac:dyDescent="0.3">
      <c r="A443" t="s">
        <v>696</v>
      </c>
      <c r="B443" s="2">
        <v>46134</v>
      </c>
      <c r="C443" t="s">
        <v>38</v>
      </c>
      <c r="D443" t="s">
        <v>29</v>
      </c>
      <c r="E443" t="s">
        <v>22</v>
      </c>
      <c r="F443" s="3">
        <v>2269.4699999999998</v>
      </c>
      <c r="G443" t="s">
        <v>15</v>
      </c>
      <c r="I443" t="s">
        <v>45</v>
      </c>
      <c r="J443" t="s">
        <v>17</v>
      </c>
      <c r="K443" t="s">
        <v>18</v>
      </c>
    </row>
    <row r="444" spans="1:11" x14ac:dyDescent="0.3">
      <c r="A444" t="s">
        <v>697</v>
      </c>
      <c r="B444" s="2">
        <v>46203</v>
      </c>
      <c r="C444" t="s">
        <v>698</v>
      </c>
      <c r="D444" t="s">
        <v>84</v>
      </c>
      <c r="E444" t="s">
        <v>14</v>
      </c>
      <c r="F444" s="3">
        <v>493.08</v>
      </c>
      <c r="G444" t="s">
        <v>15</v>
      </c>
      <c r="I444" t="s">
        <v>30</v>
      </c>
      <c r="J444" t="s">
        <v>46</v>
      </c>
      <c r="K444" t="s">
        <v>26</v>
      </c>
    </row>
    <row r="445" spans="1:11" x14ac:dyDescent="0.3">
      <c r="A445" t="s">
        <v>699</v>
      </c>
      <c r="B445" s="2">
        <v>46189</v>
      </c>
      <c r="C445" t="s">
        <v>28</v>
      </c>
      <c r="D445" t="s">
        <v>29</v>
      </c>
      <c r="E445" t="s">
        <v>50</v>
      </c>
      <c r="F445" s="3">
        <v>210.32</v>
      </c>
      <c r="G445" t="s">
        <v>15</v>
      </c>
      <c r="I445" t="s">
        <v>65</v>
      </c>
      <c r="J445" t="s">
        <v>17</v>
      </c>
      <c r="K445" t="s">
        <v>18</v>
      </c>
    </row>
    <row r="446" spans="1:11" x14ac:dyDescent="0.3">
      <c r="A446" t="s">
        <v>700</v>
      </c>
      <c r="B446" s="2">
        <v>46223</v>
      </c>
      <c r="C446" t="s">
        <v>306</v>
      </c>
      <c r="D446" t="s">
        <v>29</v>
      </c>
      <c r="E446" t="s">
        <v>39</v>
      </c>
      <c r="F446" s="3">
        <v>99.14</v>
      </c>
      <c r="G446" t="s">
        <v>15</v>
      </c>
      <c r="I446" t="s">
        <v>30</v>
      </c>
      <c r="J446" t="s">
        <v>41</v>
      </c>
      <c r="K446" t="s">
        <v>18</v>
      </c>
    </row>
    <row r="447" spans="1:11" x14ac:dyDescent="0.3">
      <c r="A447" t="s">
        <v>701</v>
      </c>
      <c r="B447" s="2">
        <v>46246</v>
      </c>
      <c r="C447" t="s">
        <v>313</v>
      </c>
      <c r="D447" t="s">
        <v>13</v>
      </c>
      <c r="E447" t="s">
        <v>22</v>
      </c>
      <c r="F447" s="3">
        <v>398.77</v>
      </c>
      <c r="G447" t="s">
        <v>15</v>
      </c>
      <c r="I447" t="s">
        <v>100</v>
      </c>
      <c r="J447" t="s">
        <v>46</v>
      </c>
      <c r="K447" t="s">
        <v>18</v>
      </c>
    </row>
    <row r="448" spans="1:11" x14ac:dyDescent="0.3">
      <c r="A448" t="s">
        <v>702</v>
      </c>
      <c r="B448" s="2">
        <v>46210</v>
      </c>
      <c r="C448" t="s">
        <v>237</v>
      </c>
      <c r="D448" t="s">
        <v>29</v>
      </c>
      <c r="E448" t="s">
        <v>22</v>
      </c>
      <c r="F448" s="3">
        <v>6337.01</v>
      </c>
      <c r="G448" t="s">
        <v>15</v>
      </c>
      <c r="I448" t="s">
        <v>100</v>
      </c>
      <c r="J448" t="s">
        <v>41</v>
      </c>
      <c r="K448" t="s">
        <v>18</v>
      </c>
    </row>
    <row r="449" spans="1:11" x14ac:dyDescent="0.3">
      <c r="A449" t="s">
        <v>703</v>
      </c>
      <c r="B449" s="2">
        <v>46075</v>
      </c>
      <c r="C449" t="s">
        <v>146</v>
      </c>
      <c r="D449" t="s">
        <v>36</v>
      </c>
      <c r="E449" t="s">
        <v>22</v>
      </c>
      <c r="F449" s="3">
        <v>1065.07</v>
      </c>
      <c r="G449" t="s">
        <v>15</v>
      </c>
      <c r="I449" t="s">
        <v>30</v>
      </c>
      <c r="J449" t="s">
        <v>17</v>
      </c>
      <c r="K449" t="s">
        <v>47</v>
      </c>
    </row>
    <row r="450" spans="1:11" x14ac:dyDescent="0.3">
      <c r="A450" t="s">
        <v>704</v>
      </c>
      <c r="B450" s="2">
        <v>46222</v>
      </c>
      <c r="C450" t="s">
        <v>348</v>
      </c>
      <c r="D450" t="s">
        <v>21</v>
      </c>
      <c r="E450" t="s">
        <v>14</v>
      </c>
      <c r="F450" s="3">
        <v>259.10000000000002</v>
      </c>
      <c r="G450" t="s">
        <v>15</v>
      </c>
      <c r="I450" t="s">
        <v>40</v>
      </c>
      <c r="J450" t="s">
        <v>17</v>
      </c>
      <c r="K450" t="s">
        <v>18</v>
      </c>
    </row>
    <row r="451" spans="1:11" x14ac:dyDescent="0.3">
      <c r="A451" t="s">
        <v>705</v>
      </c>
      <c r="B451" s="2">
        <v>46277</v>
      </c>
      <c r="C451" t="s">
        <v>177</v>
      </c>
      <c r="D451" t="s">
        <v>36</v>
      </c>
      <c r="E451" t="s">
        <v>22</v>
      </c>
      <c r="F451" s="3">
        <v>2414.61</v>
      </c>
      <c r="G451" t="s">
        <v>15</v>
      </c>
      <c r="I451" t="s">
        <v>45</v>
      </c>
      <c r="J451" t="s">
        <v>17</v>
      </c>
      <c r="K451" t="s">
        <v>18</v>
      </c>
    </row>
    <row r="452" spans="1:11" x14ac:dyDescent="0.3">
      <c r="A452" t="s">
        <v>706</v>
      </c>
      <c r="B452" s="2">
        <v>46035</v>
      </c>
      <c r="C452" t="s">
        <v>291</v>
      </c>
      <c r="D452" t="s">
        <v>36</v>
      </c>
      <c r="E452" t="s">
        <v>22</v>
      </c>
      <c r="F452" s="3">
        <v>3301.3</v>
      </c>
      <c r="G452" t="s">
        <v>15</v>
      </c>
      <c r="I452" t="s">
        <v>100</v>
      </c>
      <c r="J452" t="s">
        <v>17</v>
      </c>
      <c r="K452" t="s">
        <v>18</v>
      </c>
    </row>
    <row r="453" spans="1:11" x14ac:dyDescent="0.3">
      <c r="A453" t="s">
        <v>707</v>
      </c>
      <c r="B453" s="2">
        <v>46295</v>
      </c>
      <c r="C453" t="s">
        <v>120</v>
      </c>
      <c r="D453" t="s">
        <v>84</v>
      </c>
      <c r="E453" t="s">
        <v>22</v>
      </c>
      <c r="F453" s="3">
        <v>4172.03</v>
      </c>
      <c r="G453" t="s">
        <v>15</v>
      </c>
      <c r="I453" t="s">
        <v>30</v>
      </c>
      <c r="J453" t="s">
        <v>17</v>
      </c>
      <c r="K453" t="s">
        <v>18</v>
      </c>
    </row>
    <row r="454" spans="1:11" x14ac:dyDescent="0.3">
      <c r="A454" t="s">
        <v>708</v>
      </c>
      <c r="B454" s="2">
        <v>46133</v>
      </c>
      <c r="C454" t="s">
        <v>113</v>
      </c>
      <c r="D454" t="s">
        <v>29</v>
      </c>
      <c r="E454" t="s">
        <v>22</v>
      </c>
      <c r="F454" s="3">
        <v>1138.99</v>
      </c>
      <c r="G454" t="s">
        <v>15</v>
      </c>
      <c r="I454" t="s">
        <v>100</v>
      </c>
      <c r="J454" t="s">
        <v>17</v>
      </c>
      <c r="K454" t="s">
        <v>18</v>
      </c>
    </row>
    <row r="455" spans="1:11" x14ac:dyDescent="0.3">
      <c r="A455" t="s">
        <v>709</v>
      </c>
      <c r="B455" s="2">
        <v>46035</v>
      </c>
      <c r="C455" t="s">
        <v>402</v>
      </c>
      <c r="D455" t="s">
        <v>13</v>
      </c>
      <c r="E455" t="s">
        <v>14</v>
      </c>
      <c r="F455" s="3">
        <v>2339.21</v>
      </c>
      <c r="G455" t="s">
        <v>15</v>
      </c>
      <c r="I455" t="s">
        <v>25</v>
      </c>
      <c r="J455" t="s">
        <v>41</v>
      </c>
      <c r="K455" t="s">
        <v>18</v>
      </c>
    </row>
    <row r="456" spans="1:11" x14ac:dyDescent="0.3">
      <c r="A456" t="s">
        <v>710</v>
      </c>
      <c r="B456" s="2">
        <v>46134</v>
      </c>
      <c r="C456" t="s">
        <v>603</v>
      </c>
      <c r="D456" t="s">
        <v>29</v>
      </c>
      <c r="E456" t="s">
        <v>50</v>
      </c>
      <c r="F456" s="3">
        <v>1334.11</v>
      </c>
      <c r="G456" t="s">
        <v>15</v>
      </c>
      <c r="I456" t="s">
        <v>33</v>
      </c>
      <c r="J456" t="s">
        <v>17</v>
      </c>
      <c r="K456" t="s">
        <v>18</v>
      </c>
    </row>
    <row r="457" spans="1:11" x14ac:dyDescent="0.3">
      <c r="A457" t="s">
        <v>711</v>
      </c>
      <c r="B457" s="2">
        <v>46159</v>
      </c>
      <c r="C457" t="s">
        <v>691</v>
      </c>
      <c r="D457" t="s">
        <v>29</v>
      </c>
      <c r="E457" t="s">
        <v>39</v>
      </c>
      <c r="F457" s="3">
        <v>242.78</v>
      </c>
      <c r="G457" t="s">
        <v>15</v>
      </c>
      <c r="I457" t="s">
        <v>33</v>
      </c>
      <c r="J457" t="s">
        <v>17</v>
      </c>
      <c r="K457" t="s">
        <v>18</v>
      </c>
    </row>
    <row r="458" spans="1:11" x14ac:dyDescent="0.3">
      <c r="A458" t="s">
        <v>712</v>
      </c>
      <c r="B458" s="2">
        <v>46162</v>
      </c>
      <c r="C458" t="s">
        <v>190</v>
      </c>
      <c r="D458" t="s">
        <v>21</v>
      </c>
      <c r="E458" t="s">
        <v>50</v>
      </c>
      <c r="F458" s="3">
        <v>782.66</v>
      </c>
      <c r="G458" t="s">
        <v>15</v>
      </c>
      <c r="I458" t="s">
        <v>25</v>
      </c>
      <c r="J458" t="s">
        <v>41</v>
      </c>
      <c r="K458" t="s">
        <v>26</v>
      </c>
    </row>
    <row r="459" spans="1:11" x14ac:dyDescent="0.3">
      <c r="A459" t="s">
        <v>713</v>
      </c>
      <c r="B459" s="2">
        <v>46161</v>
      </c>
      <c r="C459" t="s">
        <v>102</v>
      </c>
      <c r="D459" t="s">
        <v>29</v>
      </c>
      <c r="E459" t="s">
        <v>50</v>
      </c>
      <c r="F459" s="3">
        <v>1536.42</v>
      </c>
      <c r="G459" t="s">
        <v>15</v>
      </c>
      <c r="I459" t="s">
        <v>45</v>
      </c>
      <c r="J459" t="s">
        <v>17</v>
      </c>
      <c r="K459" t="s">
        <v>26</v>
      </c>
    </row>
    <row r="460" spans="1:11" x14ac:dyDescent="0.3">
      <c r="A460" t="s">
        <v>714</v>
      </c>
      <c r="B460" s="2">
        <v>46078</v>
      </c>
      <c r="C460" t="s">
        <v>715</v>
      </c>
      <c r="D460" t="s">
        <v>21</v>
      </c>
      <c r="E460" t="s">
        <v>22</v>
      </c>
      <c r="F460" s="3">
        <v>742.54</v>
      </c>
      <c r="G460" t="s">
        <v>15</v>
      </c>
      <c r="I460" t="s">
        <v>25</v>
      </c>
      <c r="J460" t="s">
        <v>17</v>
      </c>
      <c r="K460" t="s">
        <v>18</v>
      </c>
    </row>
    <row r="461" spans="1:11" x14ac:dyDescent="0.3">
      <c r="A461" t="s">
        <v>716</v>
      </c>
      <c r="B461" s="2">
        <v>46171</v>
      </c>
      <c r="C461" t="s">
        <v>717</v>
      </c>
      <c r="D461" t="s">
        <v>21</v>
      </c>
      <c r="E461" t="s">
        <v>44</v>
      </c>
      <c r="F461" s="3">
        <v>1059.3499999999999</v>
      </c>
      <c r="G461" t="s">
        <v>15</v>
      </c>
      <c r="I461" t="s">
        <v>16</v>
      </c>
      <c r="J461" t="s">
        <v>17</v>
      </c>
      <c r="K461" t="s">
        <v>26</v>
      </c>
    </row>
    <row r="462" spans="1:11" x14ac:dyDescent="0.3">
      <c r="A462" t="s">
        <v>718</v>
      </c>
      <c r="B462" s="2">
        <v>46050</v>
      </c>
      <c r="C462" t="s">
        <v>135</v>
      </c>
      <c r="D462" t="s">
        <v>21</v>
      </c>
      <c r="E462" t="s">
        <v>22</v>
      </c>
      <c r="F462" s="3">
        <v>1538.53</v>
      </c>
      <c r="G462" t="s">
        <v>15</v>
      </c>
      <c r="I462" t="s">
        <v>33</v>
      </c>
      <c r="J462" t="s">
        <v>46</v>
      </c>
      <c r="K462" t="s">
        <v>18</v>
      </c>
    </row>
    <row r="463" spans="1:11" x14ac:dyDescent="0.3">
      <c r="A463" t="s">
        <v>719</v>
      </c>
      <c r="B463" s="2">
        <v>46250</v>
      </c>
      <c r="C463" t="s">
        <v>410</v>
      </c>
      <c r="D463" t="s">
        <v>21</v>
      </c>
      <c r="E463" t="s">
        <v>50</v>
      </c>
      <c r="F463" s="3">
        <v>1790.28</v>
      </c>
      <c r="G463" t="s">
        <v>15</v>
      </c>
      <c r="I463" t="s">
        <v>40</v>
      </c>
      <c r="J463" t="s">
        <v>17</v>
      </c>
      <c r="K463" t="s">
        <v>18</v>
      </c>
    </row>
    <row r="464" spans="1:11" x14ac:dyDescent="0.3">
      <c r="A464" t="s">
        <v>720</v>
      </c>
      <c r="B464" s="2">
        <v>46232</v>
      </c>
      <c r="C464" t="s">
        <v>195</v>
      </c>
      <c r="D464" t="s">
        <v>84</v>
      </c>
      <c r="E464" t="s">
        <v>44</v>
      </c>
      <c r="F464" s="3">
        <v>1217.3599999999999</v>
      </c>
      <c r="G464" t="s">
        <v>15</v>
      </c>
      <c r="I464" t="s">
        <v>33</v>
      </c>
      <c r="J464" t="s">
        <v>17</v>
      </c>
      <c r="K464" t="s">
        <v>18</v>
      </c>
    </row>
    <row r="465" spans="1:11" x14ac:dyDescent="0.3">
      <c r="A465" t="s">
        <v>721</v>
      </c>
      <c r="B465" s="2">
        <v>46098</v>
      </c>
      <c r="C465" t="s">
        <v>439</v>
      </c>
      <c r="D465" t="s">
        <v>13</v>
      </c>
      <c r="E465" t="s">
        <v>22</v>
      </c>
      <c r="F465" s="3">
        <v>1425.61</v>
      </c>
      <c r="G465" t="s">
        <v>15</v>
      </c>
      <c r="I465" t="s">
        <v>45</v>
      </c>
      <c r="J465" t="s">
        <v>46</v>
      </c>
      <c r="K465" t="s">
        <v>18</v>
      </c>
    </row>
    <row r="466" spans="1:11" x14ac:dyDescent="0.3">
      <c r="A466" t="s">
        <v>722</v>
      </c>
      <c r="B466" s="2">
        <v>46095</v>
      </c>
      <c r="C466" t="s">
        <v>691</v>
      </c>
      <c r="D466" t="s">
        <v>21</v>
      </c>
      <c r="E466" t="s">
        <v>50</v>
      </c>
      <c r="F466" s="3">
        <v>2227.5100000000002</v>
      </c>
      <c r="G466" t="s">
        <v>15</v>
      </c>
      <c r="I466" t="s">
        <v>65</v>
      </c>
      <c r="J466" t="s">
        <v>41</v>
      </c>
      <c r="K466" t="s">
        <v>26</v>
      </c>
    </row>
    <row r="467" spans="1:11" x14ac:dyDescent="0.3">
      <c r="A467" t="s">
        <v>723</v>
      </c>
      <c r="B467" s="2">
        <v>46185</v>
      </c>
      <c r="C467" t="s">
        <v>140</v>
      </c>
      <c r="D467" t="s">
        <v>13</v>
      </c>
      <c r="E467" t="s">
        <v>22</v>
      </c>
      <c r="F467" s="3">
        <v>2212.9499999999998</v>
      </c>
      <c r="G467" t="s">
        <v>23</v>
      </c>
      <c r="H467" t="s">
        <v>131</v>
      </c>
      <c r="I467" t="s">
        <v>33</v>
      </c>
      <c r="J467" t="s">
        <v>17</v>
      </c>
      <c r="K467" t="s">
        <v>18</v>
      </c>
    </row>
    <row r="468" spans="1:11" x14ac:dyDescent="0.3">
      <c r="A468" t="s">
        <v>724</v>
      </c>
      <c r="B468" s="2">
        <v>46154</v>
      </c>
      <c r="C468" t="s">
        <v>164</v>
      </c>
      <c r="D468" t="s">
        <v>29</v>
      </c>
      <c r="E468" t="s">
        <v>22</v>
      </c>
      <c r="F468" s="3">
        <v>2812.4</v>
      </c>
      <c r="G468" t="s">
        <v>15</v>
      </c>
      <c r="I468" t="s">
        <v>40</v>
      </c>
      <c r="J468" t="s">
        <v>17</v>
      </c>
      <c r="K468" t="s">
        <v>18</v>
      </c>
    </row>
    <row r="469" spans="1:11" x14ac:dyDescent="0.3">
      <c r="A469" t="s">
        <v>725</v>
      </c>
      <c r="B469" s="2">
        <v>46138</v>
      </c>
      <c r="C469" t="s">
        <v>603</v>
      </c>
      <c r="D469" t="s">
        <v>13</v>
      </c>
      <c r="E469" t="s">
        <v>22</v>
      </c>
      <c r="F469" s="3">
        <v>523.41</v>
      </c>
      <c r="G469" t="s">
        <v>23</v>
      </c>
      <c r="H469" t="s">
        <v>70</v>
      </c>
      <c r="I469" t="s">
        <v>45</v>
      </c>
      <c r="J469" t="s">
        <v>17</v>
      </c>
      <c r="K469" t="s">
        <v>26</v>
      </c>
    </row>
    <row r="470" spans="1:11" x14ac:dyDescent="0.3">
      <c r="A470" t="s">
        <v>726</v>
      </c>
      <c r="B470" s="2">
        <v>46047</v>
      </c>
      <c r="C470" t="s">
        <v>102</v>
      </c>
      <c r="D470" t="s">
        <v>36</v>
      </c>
      <c r="E470" t="s">
        <v>22</v>
      </c>
      <c r="F470" s="3">
        <v>2377.0100000000002</v>
      </c>
      <c r="G470" t="s">
        <v>15</v>
      </c>
      <c r="I470" t="s">
        <v>30</v>
      </c>
      <c r="J470" t="s">
        <v>46</v>
      </c>
      <c r="K470" t="s">
        <v>47</v>
      </c>
    </row>
    <row r="471" spans="1:11" x14ac:dyDescent="0.3">
      <c r="A471" t="s">
        <v>727</v>
      </c>
      <c r="B471" s="2">
        <v>46214</v>
      </c>
      <c r="C471" t="s">
        <v>548</v>
      </c>
      <c r="D471" t="s">
        <v>84</v>
      </c>
      <c r="E471" t="s">
        <v>39</v>
      </c>
      <c r="F471" s="3">
        <v>1299.05</v>
      </c>
      <c r="G471" t="s">
        <v>15</v>
      </c>
      <c r="I471" t="s">
        <v>40</v>
      </c>
      <c r="J471" t="s">
        <v>17</v>
      </c>
      <c r="K471" t="s">
        <v>18</v>
      </c>
    </row>
    <row r="472" spans="1:11" x14ac:dyDescent="0.3">
      <c r="A472" t="s">
        <v>728</v>
      </c>
      <c r="B472" s="2">
        <v>46214</v>
      </c>
      <c r="C472" t="s">
        <v>729</v>
      </c>
      <c r="D472" t="s">
        <v>21</v>
      </c>
      <c r="E472" t="s">
        <v>22</v>
      </c>
      <c r="F472" s="3">
        <v>1370.58</v>
      </c>
      <c r="G472" t="s">
        <v>23</v>
      </c>
      <c r="H472" t="s">
        <v>24</v>
      </c>
      <c r="I472" t="s">
        <v>100</v>
      </c>
      <c r="J472" t="s">
        <v>17</v>
      </c>
      <c r="K472" t="s">
        <v>18</v>
      </c>
    </row>
    <row r="473" spans="1:11" x14ac:dyDescent="0.3">
      <c r="A473" t="s">
        <v>730</v>
      </c>
      <c r="B473" s="2">
        <v>46210</v>
      </c>
      <c r="C473" t="s">
        <v>463</v>
      </c>
      <c r="D473" t="s">
        <v>21</v>
      </c>
      <c r="E473" t="s">
        <v>50</v>
      </c>
      <c r="F473" s="3">
        <v>605.49</v>
      </c>
      <c r="G473" t="s">
        <v>15</v>
      </c>
      <c r="I473" t="s">
        <v>33</v>
      </c>
      <c r="J473" t="s">
        <v>17</v>
      </c>
      <c r="K473" t="s">
        <v>47</v>
      </c>
    </row>
    <row r="474" spans="1:11" x14ac:dyDescent="0.3">
      <c r="A474" t="s">
        <v>731</v>
      </c>
      <c r="B474" s="2">
        <v>46242</v>
      </c>
      <c r="C474" t="s">
        <v>43</v>
      </c>
      <c r="D474" t="s">
        <v>36</v>
      </c>
      <c r="E474" t="s">
        <v>22</v>
      </c>
      <c r="F474" s="3">
        <v>1142.07</v>
      </c>
      <c r="G474" t="s">
        <v>15</v>
      </c>
      <c r="I474" t="s">
        <v>45</v>
      </c>
      <c r="J474" t="s">
        <v>41</v>
      </c>
      <c r="K474" t="s">
        <v>18</v>
      </c>
    </row>
    <row r="475" spans="1:11" x14ac:dyDescent="0.3">
      <c r="A475" t="s">
        <v>732</v>
      </c>
      <c r="B475" s="2">
        <v>46271</v>
      </c>
      <c r="C475" t="s">
        <v>35</v>
      </c>
      <c r="D475" t="s">
        <v>84</v>
      </c>
      <c r="E475" t="s">
        <v>50</v>
      </c>
      <c r="F475" s="3">
        <v>1682.55</v>
      </c>
      <c r="G475" t="s">
        <v>23</v>
      </c>
      <c r="H475" t="s">
        <v>70</v>
      </c>
      <c r="I475" t="s">
        <v>100</v>
      </c>
      <c r="J475" t="s">
        <v>41</v>
      </c>
      <c r="K475" t="s">
        <v>18</v>
      </c>
    </row>
    <row r="476" spans="1:11" x14ac:dyDescent="0.3">
      <c r="A476" t="s">
        <v>733</v>
      </c>
      <c r="B476" s="2">
        <v>46295</v>
      </c>
      <c r="C476" t="s">
        <v>734</v>
      </c>
      <c r="D476" t="s">
        <v>29</v>
      </c>
      <c r="E476" t="s">
        <v>22</v>
      </c>
      <c r="F476" s="3">
        <v>534.61</v>
      </c>
      <c r="G476" t="s">
        <v>15</v>
      </c>
      <c r="I476" t="s">
        <v>65</v>
      </c>
      <c r="J476" t="s">
        <v>17</v>
      </c>
      <c r="K476" t="s">
        <v>47</v>
      </c>
    </row>
    <row r="477" spans="1:11" x14ac:dyDescent="0.3">
      <c r="A477" t="s">
        <v>735</v>
      </c>
      <c r="B477" s="2">
        <v>46094</v>
      </c>
      <c r="C477" t="s">
        <v>736</v>
      </c>
      <c r="D477" t="s">
        <v>13</v>
      </c>
      <c r="E477" t="s">
        <v>39</v>
      </c>
      <c r="F477" s="3">
        <v>744.4</v>
      </c>
      <c r="G477" t="s">
        <v>15</v>
      </c>
      <c r="I477" t="s">
        <v>30</v>
      </c>
      <c r="J477" t="s">
        <v>41</v>
      </c>
      <c r="K477" t="s">
        <v>18</v>
      </c>
    </row>
    <row r="478" spans="1:11" x14ac:dyDescent="0.3">
      <c r="A478" t="s">
        <v>737</v>
      </c>
      <c r="B478" s="2">
        <v>46028</v>
      </c>
      <c r="C478" t="s">
        <v>610</v>
      </c>
      <c r="D478" t="s">
        <v>84</v>
      </c>
      <c r="E478" t="s">
        <v>22</v>
      </c>
      <c r="F478" s="3">
        <v>804.4</v>
      </c>
      <c r="G478" t="s">
        <v>15</v>
      </c>
      <c r="I478" t="s">
        <v>40</v>
      </c>
      <c r="J478" t="s">
        <v>46</v>
      </c>
      <c r="K478" t="s">
        <v>18</v>
      </c>
    </row>
    <row r="479" spans="1:11" x14ac:dyDescent="0.3">
      <c r="A479" t="s">
        <v>738</v>
      </c>
      <c r="B479" s="2">
        <v>46264</v>
      </c>
      <c r="C479" t="s">
        <v>246</v>
      </c>
      <c r="D479" t="s">
        <v>29</v>
      </c>
      <c r="E479" t="s">
        <v>44</v>
      </c>
      <c r="F479" s="3">
        <v>1421.33</v>
      </c>
      <c r="G479" t="s">
        <v>15</v>
      </c>
      <c r="I479" t="s">
        <v>45</v>
      </c>
      <c r="J479" t="s">
        <v>41</v>
      </c>
      <c r="K479" t="s">
        <v>18</v>
      </c>
    </row>
    <row r="480" spans="1:11" x14ac:dyDescent="0.3">
      <c r="A480" t="s">
        <v>739</v>
      </c>
      <c r="B480" s="2">
        <v>46041</v>
      </c>
      <c r="C480" t="s">
        <v>284</v>
      </c>
      <c r="D480" t="s">
        <v>21</v>
      </c>
      <c r="E480" t="s">
        <v>22</v>
      </c>
      <c r="F480" s="3">
        <v>2601.85</v>
      </c>
      <c r="G480" t="s">
        <v>15</v>
      </c>
      <c r="I480" t="s">
        <v>65</v>
      </c>
      <c r="J480" t="s">
        <v>46</v>
      </c>
      <c r="K480" t="s">
        <v>18</v>
      </c>
    </row>
    <row r="481" spans="1:11" x14ac:dyDescent="0.3">
      <c r="A481" t="s">
        <v>740</v>
      </c>
      <c r="B481" s="2">
        <v>46167</v>
      </c>
      <c r="C481" t="s">
        <v>427</v>
      </c>
      <c r="D481" t="s">
        <v>84</v>
      </c>
      <c r="E481" t="s">
        <v>39</v>
      </c>
      <c r="F481" s="3">
        <v>3292.59</v>
      </c>
      <c r="G481" t="s">
        <v>15</v>
      </c>
      <c r="I481" t="s">
        <v>45</v>
      </c>
      <c r="J481" t="s">
        <v>17</v>
      </c>
      <c r="K481" t="s">
        <v>26</v>
      </c>
    </row>
    <row r="482" spans="1:11" x14ac:dyDescent="0.3">
      <c r="A482" t="s">
        <v>741</v>
      </c>
      <c r="B482" s="2">
        <v>46261</v>
      </c>
      <c r="C482" t="s">
        <v>280</v>
      </c>
      <c r="D482" t="s">
        <v>36</v>
      </c>
      <c r="E482" t="s">
        <v>22</v>
      </c>
      <c r="F482" s="3">
        <v>1702.27</v>
      </c>
      <c r="G482" t="s">
        <v>15</v>
      </c>
      <c r="I482" t="s">
        <v>100</v>
      </c>
      <c r="J482" t="s">
        <v>17</v>
      </c>
      <c r="K482" t="s">
        <v>18</v>
      </c>
    </row>
    <row r="483" spans="1:11" x14ac:dyDescent="0.3">
      <c r="A483" t="s">
        <v>742</v>
      </c>
      <c r="B483" s="2">
        <v>46268</v>
      </c>
      <c r="C483" t="s">
        <v>190</v>
      </c>
      <c r="D483" t="s">
        <v>21</v>
      </c>
      <c r="E483" t="s">
        <v>22</v>
      </c>
      <c r="F483" s="3">
        <v>321.88</v>
      </c>
      <c r="G483" t="s">
        <v>23</v>
      </c>
      <c r="H483" t="s">
        <v>131</v>
      </c>
      <c r="I483" t="s">
        <v>16</v>
      </c>
      <c r="J483" t="s">
        <v>46</v>
      </c>
      <c r="K483" t="s">
        <v>18</v>
      </c>
    </row>
    <row r="484" spans="1:11" x14ac:dyDescent="0.3">
      <c r="A484" t="s">
        <v>743</v>
      </c>
      <c r="B484" s="2">
        <v>46125</v>
      </c>
      <c r="C484" t="s">
        <v>736</v>
      </c>
      <c r="D484" t="s">
        <v>84</v>
      </c>
      <c r="E484" t="s">
        <v>22</v>
      </c>
      <c r="F484" s="3">
        <v>3353.92</v>
      </c>
      <c r="G484" t="s">
        <v>15</v>
      </c>
      <c r="I484" t="s">
        <v>25</v>
      </c>
      <c r="J484" t="s">
        <v>17</v>
      </c>
      <c r="K484" t="s">
        <v>26</v>
      </c>
    </row>
    <row r="485" spans="1:11" x14ac:dyDescent="0.3">
      <c r="A485" t="s">
        <v>744</v>
      </c>
      <c r="B485" s="2">
        <v>46120</v>
      </c>
      <c r="C485" t="s">
        <v>423</v>
      </c>
      <c r="D485" t="s">
        <v>13</v>
      </c>
      <c r="E485" t="s">
        <v>39</v>
      </c>
      <c r="F485" s="3">
        <v>3505.79</v>
      </c>
      <c r="G485" t="s">
        <v>15</v>
      </c>
      <c r="I485" t="s">
        <v>16</v>
      </c>
      <c r="J485" t="s">
        <v>41</v>
      </c>
      <c r="K485" t="s">
        <v>18</v>
      </c>
    </row>
    <row r="486" spans="1:11" x14ac:dyDescent="0.3">
      <c r="A486" t="s">
        <v>745</v>
      </c>
      <c r="B486" s="2">
        <v>46130</v>
      </c>
      <c r="C486" t="s">
        <v>619</v>
      </c>
      <c r="D486" t="s">
        <v>84</v>
      </c>
      <c r="E486" t="s">
        <v>22</v>
      </c>
      <c r="F486" s="3">
        <v>2078.19</v>
      </c>
      <c r="G486" t="s">
        <v>15</v>
      </c>
      <c r="I486" t="s">
        <v>16</v>
      </c>
      <c r="J486" t="s">
        <v>17</v>
      </c>
      <c r="K486" t="s">
        <v>18</v>
      </c>
    </row>
    <row r="487" spans="1:11" x14ac:dyDescent="0.3">
      <c r="A487" t="s">
        <v>746</v>
      </c>
      <c r="B487" s="2">
        <v>46028</v>
      </c>
      <c r="C487" t="s">
        <v>148</v>
      </c>
      <c r="D487" t="s">
        <v>21</v>
      </c>
      <c r="E487" t="s">
        <v>22</v>
      </c>
      <c r="F487" s="3">
        <v>1022.53</v>
      </c>
      <c r="G487" t="s">
        <v>149</v>
      </c>
      <c r="I487" t="s">
        <v>16</v>
      </c>
      <c r="J487" t="s">
        <v>17</v>
      </c>
      <c r="K487" t="s">
        <v>18</v>
      </c>
    </row>
    <row r="488" spans="1:11" x14ac:dyDescent="0.3">
      <c r="A488" t="s">
        <v>747</v>
      </c>
      <c r="B488" s="2">
        <v>46236</v>
      </c>
      <c r="C488" t="s">
        <v>528</v>
      </c>
      <c r="D488" t="s">
        <v>21</v>
      </c>
      <c r="E488" t="s">
        <v>22</v>
      </c>
      <c r="F488" s="3">
        <v>1003.37</v>
      </c>
      <c r="G488" t="s">
        <v>15</v>
      </c>
      <c r="I488" t="s">
        <v>100</v>
      </c>
      <c r="J488" t="s">
        <v>46</v>
      </c>
      <c r="K488" t="s">
        <v>18</v>
      </c>
    </row>
    <row r="489" spans="1:11" x14ac:dyDescent="0.3">
      <c r="A489" t="s">
        <v>748</v>
      </c>
      <c r="B489" s="2">
        <v>46292</v>
      </c>
      <c r="C489" t="s">
        <v>35</v>
      </c>
      <c r="D489" t="s">
        <v>29</v>
      </c>
      <c r="E489" t="s">
        <v>50</v>
      </c>
      <c r="F489" s="3">
        <v>3149.5</v>
      </c>
      <c r="G489" t="s">
        <v>15</v>
      </c>
      <c r="I489" t="s">
        <v>30</v>
      </c>
      <c r="J489" t="s">
        <v>46</v>
      </c>
      <c r="K489" t="s">
        <v>18</v>
      </c>
    </row>
    <row r="490" spans="1:11" x14ac:dyDescent="0.3">
      <c r="A490" t="s">
        <v>749</v>
      </c>
      <c r="B490" s="2">
        <v>46091</v>
      </c>
      <c r="C490" t="s">
        <v>562</v>
      </c>
      <c r="D490" t="s">
        <v>36</v>
      </c>
      <c r="E490" t="s">
        <v>22</v>
      </c>
      <c r="F490" s="3">
        <v>1682.49</v>
      </c>
      <c r="G490" t="s">
        <v>15</v>
      </c>
      <c r="I490" t="s">
        <v>40</v>
      </c>
      <c r="J490" t="s">
        <v>17</v>
      </c>
      <c r="K490" t="s">
        <v>18</v>
      </c>
    </row>
    <row r="491" spans="1:11" x14ac:dyDescent="0.3">
      <c r="A491" t="s">
        <v>750</v>
      </c>
      <c r="B491" s="2">
        <v>46116</v>
      </c>
      <c r="C491" t="s">
        <v>186</v>
      </c>
      <c r="D491" t="s">
        <v>29</v>
      </c>
      <c r="E491" t="s">
        <v>22</v>
      </c>
      <c r="F491" s="3">
        <v>295.22000000000003</v>
      </c>
      <c r="G491" t="s">
        <v>15</v>
      </c>
      <c r="I491" t="s">
        <v>45</v>
      </c>
      <c r="J491" t="s">
        <v>41</v>
      </c>
      <c r="K491" t="s">
        <v>26</v>
      </c>
    </row>
    <row r="492" spans="1:11" x14ac:dyDescent="0.3">
      <c r="A492" t="s">
        <v>751</v>
      </c>
      <c r="B492" s="2">
        <v>46033</v>
      </c>
      <c r="C492" t="s">
        <v>271</v>
      </c>
      <c r="D492" t="s">
        <v>84</v>
      </c>
      <c r="E492" t="s">
        <v>22</v>
      </c>
      <c r="F492" s="3">
        <v>534.41999999999996</v>
      </c>
      <c r="G492" t="s">
        <v>15</v>
      </c>
      <c r="I492" t="s">
        <v>33</v>
      </c>
      <c r="J492" t="s">
        <v>17</v>
      </c>
      <c r="K492" t="s">
        <v>47</v>
      </c>
    </row>
    <row r="493" spans="1:11" x14ac:dyDescent="0.3">
      <c r="A493" t="s">
        <v>752</v>
      </c>
      <c r="B493" s="2">
        <v>46263</v>
      </c>
      <c r="C493" t="s">
        <v>242</v>
      </c>
      <c r="D493" t="s">
        <v>21</v>
      </c>
      <c r="E493" t="s">
        <v>22</v>
      </c>
      <c r="F493" s="3">
        <v>613.30999999999995</v>
      </c>
      <c r="G493" t="s">
        <v>15</v>
      </c>
      <c r="I493" t="s">
        <v>100</v>
      </c>
      <c r="J493" t="s">
        <v>41</v>
      </c>
      <c r="K493" t="s">
        <v>47</v>
      </c>
    </row>
    <row r="494" spans="1:11" x14ac:dyDescent="0.3">
      <c r="A494" t="s">
        <v>753</v>
      </c>
      <c r="B494" s="2">
        <v>46261</v>
      </c>
      <c r="C494" t="s">
        <v>267</v>
      </c>
      <c r="D494" t="s">
        <v>84</v>
      </c>
      <c r="E494" t="s">
        <v>22</v>
      </c>
      <c r="F494" s="3">
        <v>1290.3900000000001</v>
      </c>
      <c r="G494" t="s">
        <v>15</v>
      </c>
      <c r="I494" t="s">
        <v>40</v>
      </c>
      <c r="J494" t="s">
        <v>17</v>
      </c>
      <c r="K494" t="s">
        <v>26</v>
      </c>
    </row>
    <row r="495" spans="1:11" x14ac:dyDescent="0.3">
      <c r="A495" t="s">
        <v>754</v>
      </c>
      <c r="B495" s="2">
        <v>46213</v>
      </c>
      <c r="C495" t="s">
        <v>489</v>
      </c>
      <c r="D495" t="s">
        <v>36</v>
      </c>
      <c r="E495" t="s">
        <v>22</v>
      </c>
      <c r="F495" s="3">
        <v>822.37</v>
      </c>
      <c r="G495" t="s">
        <v>15</v>
      </c>
      <c r="I495" t="s">
        <v>33</v>
      </c>
      <c r="J495" t="s">
        <v>17</v>
      </c>
      <c r="K495" t="s">
        <v>18</v>
      </c>
    </row>
    <row r="496" spans="1:11" x14ac:dyDescent="0.3">
      <c r="A496" t="s">
        <v>755</v>
      </c>
      <c r="B496" s="2">
        <v>46030</v>
      </c>
      <c r="C496" t="s">
        <v>320</v>
      </c>
      <c r="D496" t="s">
        <v>84</v>
      </c>
      <c r="E496" t="s">
        <v>39</v>
      </c>
      <c r="F496" s="3">
        <v>270.69</v>
      </c>
      <c r="G496" t="s">
        <v>15</v>
      </c>
      <c r="I496" t="s">
        <v>16</v>
      </c>
      <c r="J496" t="s">
        <v>17</v>
      </c>
      <c r="K496" t="s">
        <v>18</v>
      </c>
    </row>
    <row r="497" spans="1:11" x14ac:dyDescent="0.3">
      <c r="A497" t="s">
        <v>756</v>
      </c>
      <c r="B497" s="2">
        <v>46250</v>
      </c>
      <c r="C497" t="s">
        <v>435</v>
      </c>
      <c r="D497" t="s">
        <v>36</v>
      </c>
      <c r="E497" t="s">
        <v>50</v>
      </c>
      <c r="F497" s="3">
        <v>759.42</v>
      </c>
      <c r="G497" t="s">
        <v>15</v>
      </c>
      <c r="I497" t="s">
        <v>30</v>
      </c>
      <c r="J497" t="s">
        <v>17</v>
      </c>
      <c r="K497" t="s">
        <v>18</v>
      </c>
    </row>
    <row r="498" spans="1:11" x14ac:dyDescent="0.3">
      <c r="A498" t="s">
        <v>757</v>
      </c>
      <c r="B498" s="2">
        <v>46170</v>
      </c>
      <c r="C498" t="s">
        <v>758</v>
      </c>
      <c r="D498" t="s">
        <v>84</v>
      </c>
      <c r="E498" t="s">
        <v>22</v>
      </c>
      <c r="F498" s="3">
        <v>641.03</v>
      </c>
      <c r="G498" t="s">
        <v>15</v>
      </c>
      <c r="I498" t="s">
        <v>100</v>
      </c>
      <c r="J498" t="s">
        <v>41</v>
      </c>
      <c r="K498" t="s">
        <v>26</v>
      </c>
    </row>
    <row r="499" spans="1:11" x14ac:dyDescent="0.3">
      <c r="A499" t="s">
        <v>759</v>
      </c>
      <c r="B499" s="2">
        <v>46163</v>
      </c>
      <c r="C499" t="s">
        <v>445</v>
      </c>
      <c r="D499" t="s">
        <v>13</v>
      </c>
      <c r="E499" t="s">
        <v>22</v>
      </c>
      <c r="F499" s="3">
        <v>3120.87</v>
      </c>
      <c r="G499" t="s">
        <v>15</v>
      </c>
      <c r="I499" t="s">
        <v>33</v>
      </c>
      <c r="J499" t="s">
        <v>46</v>
      </c>
      <c r="K499" t="s">
        <v>47</v>
      </c>
    </row>
    <row r="500" spans="1:11" x14ac:dyDescent="0.3">
      <c r="A500" t="s">
        <v>760</v>
      </c>
      <c r="B500" s="2">
        <v>46060</v>
      </c>
      <c r="C500" t="s">
        <v>344</v>
      </c>
      <c r="D500" t="s">
        <v>29</v>
      </c>
      <c r="E500" t="s">
        <v>39</v>
      </c>
      <c r="F500" s="3">
        <v>2124</v>
      </c>
      <c r="G500" t="s">
        <v>15</v>
      </c>
      <c r="I500" t="s">
        <v>65</v>
      </c>
      <c r="J500" t="s">
        <v>41</v>
      </c>
      <c r="K500" t="s">
        <v>18</v>
      </c>
    </row>
    <row r="501" spans="1:11" x14ac:dyDescent="0.3">
      <c r="A501" t="s">
        <v>761</v>
      </c>
      <c r="B501" s="2">
        <v>46097</v>
      </c>
      <c r="C501" t="s">
        <v>38</v>
      </c>
      <c r="D501" t="s">
        <v>84</v>
      </c>
      <c r="E501" t="s">
        <v>22</v>
      </c>
      <c r="F501" s="3">
        <v>508.09</v>
      </c>
      <c r="G501" t="s">
        <v>149</v>
      </c>
      <c r="I501" t="s">
        <v>33</v>
      </c>
      <c r="J501" t="s">
        <v>17</v>
      </c>
      <c r="K501" t="s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70" customWidth="1"/>
  </cols>
  <sheetData>
    <row r="1" spans="1:2" x14ac:dyDescent="0.3">
      <c r="A1" s="4" t="s">
        <v>762</v>
      </c>
      <c r="B1" s="4" t="s">
        <v>763</v>
      </c>
    </row>
    <row r="2" spans="1:2" x14ac:dyDescent="0.3">
      <c r="A2" t="s">
        <v>0</v>
      </c>
      <c r="B2" t="s">
        <v>764</v>
      </c>
    </row>
    <row r="3" spans="1:2" x14ac:dyDescent="0.3">
      <c r="A3" t="s">
        <v>1</v>
      </c>
      <c r="B3" t="s">
        <v>765</v>
      </c>
    </row>
    <row r="4" spans="1:2" x14ac:dyDescent="0.3">
      <c r="A4" t="s">
        <v>2</v>
      </c>
      <c r="B4" t="s">
        <v>766</v>
      </c>
    </row>
    <row r="5" spans="1:2" x14ac:dyDescent="0.3">
      <c r="A5" t="s">
        <v>3</v>
      </c>
      <c r="B5" t="s">
        <v>767</v>
      </c>
    </row>
    <row r="6" spans="1:2" x14ac:dyDescent="0.3">
      <c r="A6" t="s">
        <v>4</v>
      </c>
      <c r="B6" t="s">
        <v>768</v>
      </c>
    </row>
    <row r="7" spans="1:2" x14ac:dyDescent="0.3">
      <c r="A7" t="s">
        <v>5</v>
      </c>
      <c r="B7" t="s">
        <v>769</v>
      </c>
    </row>
    <row r="8" spans="1:2" x14ac:dyDescent="0.3">
      <c r="A8" t="s">
        <v>6</v>
      </c>
      <c r="B8" t="s">
        <v>770</v>
      </c>
    </row>
    <row r="9" spans="1:2" x14ac:dyDescent="0.3">
      <c r="A9" t="s">
        <v>7</v>
      </c>
      <c r="B9" t="s">
        <v>771</v>
      </c>
    </row>
    <row r="10" spans="1:2" x14ac:dyDescent="0.3">
      <c r="A10" t="s">
        <v>8</v>
      </c>
      <c r="B10" t="s">
        <v>772</v>
      </c>
    </row>
    <row r="11" spans="1:2" x14ac:dyDescent="0.3">
      <c r="A11" t="s">
        <v>9</v>
      </c>
      <c r="B11" t="s">
        <v>773</v>
      </c>
    </row>
    <row r="12" spans="1:2" x14ac:dyDescent="0.3">
      <c r="A12" t="s">
        <v>10</v>
      </c>
      <c r="B12" t="s">
        <v>774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6"/>
  <sheetViews>
    <sheetView workbookViewId="0">
      <selection activeCell="F25" sqref="F25"/>
    </sheetView>
  </sheetViews>
  <sheetFormatPr defaultRowHeight="14.4" x14ac:dyDescent="0.3"/>
  <cols>
    <col min="1" max="1" width="17.33203125" customWidth="1"/>
    <col min="2" max="2" width="23" customWidth="1"/>
    <col min="3" max="3" width="20.21875" customWidth="1"/>
    <col min="4" max="4" width="22.44140625" customWidth="1"/>
    <col min="5" max="5" width="18" customWidth="1"/>
  </cols>
  <sheetData>
    <row r="1" spans="1:5" x14ac:dyDescent="0.3">
      <c r="A1" s="8" t="s">
        <v>775</v>
      </c>
      <c r="B1" s="8" t="s">
        <v>776</v>
      </c>
      <c r="C1" s="8" t="s">
        <v>777</v>
      </c>
      <c r="D1" s="8" t="s">
        <v>778</v>
      </c>
      <c r="E1" s="8" t="s">
        <v>779</v>
      </c>
    </row>
    <row r="2" spans="1:5" x14ac:dyDescent="0.3">
      <c r="A2">
        <f>COUNTA(Transactions!A:A)-1</f>
        <v>500</v>
      </c>
      <c r="B2" s="6">
        <f>SUM(Transactions!F2:'Transactions'!F:F)</f>
        <v>850222.76000000059</v>
      </c>
      <c r="C2">
        <f>COUNTIF(Transactions!G:G,"Success")</f>
        <v>422</v>
      </c>
      <c r="D2">
        <f>COUNTIF(Transactions!G:G,"FAILED")</f>
        <v>60</v>
      </c>
      <c r="E2">
        <f>COUNTIF(Transactions!G:G,"PENDING")</f>
        <v>18</v>
      </c>
    </row>
    <row r="4" spans="1:5" x14ac:dyDescent="0.3">
      <c r="A4" s="8" t="s">
        <v>780</v>
      </c>
    </row>
    <row r="5" spans="1:5" x14ac:dyDescent="0.3">
      <c r="A5" s="7">
        <f>C2/A2</f>
        <v>0.84399999999999997</v>
      </c>
    </row>
    <row r="7" spans="1:5" x14ac:dyDescent="0.3">
      <c r="A7" s="8" t="s">
        <v>781</v>
      </c>
    </row>
    <row r="8" spans="1:5" x14ac:dyDescent="0.3">
      <c r="A8" s="5">
        <f>D2/A2</f>
        <v>0.12</v>
      </c>
    </row>
    <row r="11" spans="1:5" x14ac:dyDescent="0.3">
      <c r="A11" s="8" t="s">
        <v>782</v>
      </c>
      <c r="B11" s="8" t="s">
        <v>783</v>
      </c>
    </row>
    <row r="12" spans="1:5" x14ac:dyDescent="0.3">
      <c r="A12" t="s">
        <v>22</v>
      </c>
      <c r="B12">
        <f>COUNTIF(Transactions!E:E,Analysis!A12)</f>
        <v>267</v>
      </c>
    </row>
    <row r="13" spans="1:5" x14ac:dyDescent="0.3">
      <c r="A13" t="s">
        <v>50</v>
      </c>
      <c r="B13">
        <f>COUNTIF(Transactions!E:E,A13)</f>
        <v>80</v>
      </c>
    </row>
    <row r="14" spans="1:5" x14ac:dyDescent="0.3">
      <c r="A14" t="s">
        <v>14</v>
      </c>
      <c r="B14">
        <f>COUNTIF(Transactions!E:E,A14)</f>
        <v>42</v>
      </c>
    </row>
    <row r="15" spans="1:5" x14ac:dyDescent="0.3">
      <c r="A15" t="s">
        <v>39</v>
      </c>
      <c r="B15">
        <f>COUNTIF(Transactions!E:E,A15)</f>
        <v>65</v>
      </c>
    </row>
    <row r="16" spans="1:5" x14ac:dyDescent="0.3">
      <c r="A16" t="s">
        <v>44</v>
      </c>
      <c r="B16">
        <f>COUNTIF(Transactions!E:E,A16)</f>
        <v>46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8"/>
  <sheetViews>
    <sheetView tabSelected="1" workbookViewId="0">
      <selection activeCell="U10" sqref="U10"/>
    </sheetView>
  </sheetViews>
  <sheetFormatPr defaultRowHeight="14.4" x14ac:dyDescent="0.3"/>
  <cols>
    <col min="1" max="1" width="23.109375" customWidth="1"/>
    <col min="2" max="2" width="20" customWidth="1"/>
  </cols>
  <sheetData>
    <row r="1" spans="1:7" ht="30" x14ac:dyDescent="0.7">
      <c r="A1" s="14" t="s">
        <v>791</v>
      </c>
      <c r="B1" s="15"/>
      <c r="C1" s="15"/>
      <c r="D1" s="15"/>
      <c r="E1" s="15"/>
      <c r="F1" s="15"/>
      <c r="G1" s="15"/>
    </row>
    <row r="2" spans="1:7" x14ac:dyDescent="0.3">
      <c r="A2" s="8" t="s">
        <v>809</v>
      </c>
    </row>
    <row r="4" spans="1:7" ht="18" x14ac:dyDescent="0.35">
      <c r="A4" s="16" t="s">
        <v>792</v>
      </c>
      <c r="B4" s="8" t="s">
        <v>794</v>
      </c>
    </row>
    <row r="5" spans="1:7" x14ac:dyDescent="0.3">
      <c r="A5" t="s">
        <v>775</v>
      </c>
      <c r="B5">
        <v>500</v>
      </c>
    </row>
    <row r="6" spans="1:7" x14ac:dyDescent="0.3">
      <c r="A6" t="s">
        <v>793</v>
      </c>
      <c r="B6" s="17">
        <f>SUM(Transactions!F:F)</f>
        <v>850222.76000000059</v>
      </c>
    </row>
    <row r="7" spans="1:7" x14ac:dyDescent="0.3">
      <c r="A7" t="s">
        <v>777</v>
      </c>
      <c r="B7">
        <v>422</v>
      </c>
    </row>
    <row r="8" spans="1:7" x14ac:dyDescent="0.3">
      <c r="A8" t="s">
        <v>780</v>
      </c>
      <c r="B8" s="12">
        <v>0.84399999999999997</v>
      </c>
    </row>
    <row r="9" spans="1:7" x14ac:dyDescent="0.3">
      <c r="A9" t="s">
        <v>778</v>
      </c>
      <c r="B9">
        <v>60</v>
      </c>
    </row>
    <row r="10" spans="1:7" x14ac:dyDescent="0.3">
      <c r="A10" t="s">
        <v>781</v>
      </c>
      <c r="B10" s="11">
        <v>0.12</v>
      </c>
    </row>
    <row r="11" spans="1:7" x14ac:dyDescent="0.3">
      <c r="A11" t="s">
        <v>779</v>
      </c>
      <c r="B11">
        <v>18</v>
      </c>
    </row>
    <row r="14" spans="1:7" ht="23.4" x14ac:dyDescent="0.45">
      <c r="A14" s="22" t="s">
        <v>803</v>
      </c>
    </row>
    <row r="15" spans="1:7" x14ac:dyDescent="0.3">
      <c r="A15" s="20" t="s">
        <v>804</v>
      </c>
    </row>
    <row r="16" spans="1:7" x14ac:dyDescent="0.3">
      <c r="A16" t="s">
        <v>805</v>
      </c>
    </row>
    <row r="17" spans="1:2" x14ac:dyDescent="0.3">
      <c r="A17" t="s">
        <v>806</v>
      </c>
      <c r="B17" s="21"/>
    </row>
    <row r="18" spans="1:2" x14ac:dyDescent="0.3">
      <c r="A18" t="s">
        <v>807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Bank level performance</vt:lpstr>
      <vt:lpstr>Failure analysis</vt:lpstr>
      <vt:lpstr>payment method</vt:lpstr>
      <vt:lpstr>Transactions</vt:lpstr>
      <vt:lpstr>Data_Dictionary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Ashu</cp:lastModifiedBy>
  <dcterms:created xsi:type="dcterms:W3CDTF">2026-10-06T06:01:54Z</dcterms:created>
  <dcterms:modified xsi:type="dcterms:W3CDTF">2026-10-08T14:52:02Z</dcterms:modified>
</cp:coreProperties>
</file>